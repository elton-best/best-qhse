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327"/>
  <workbookPr/>
  <mc:AlternateContent xmlns:mc="http://schemas.openxmlformats.org/markup-compatibility/2006">
    <mc:Choice Requires="x15">
      <x15ac:absPath xmlns:x15ac="http://schemas.microsoft.com/office/spreadsheetml/2010/11/ac" url="C:\Users\kaure\BEST EXPERTS-GROUP Dropbox\SHAREPOINT BEST EXPERTS-GROUP\REFONTE DU SMQ\DOCUMENTS EN COURS\ADMINISTRATION ET RESSOURCES\"/>
    </mc:Choice>
  </mc:AlternateContent>
  <xr:revisionPtr revIDLastSave="0" documentId="13_ncr:1_{5FAE4015-D96F-4B58-BA21-512FB8BFF34E}" xr6:coauthVersionLast="47" xr6:coauthVersionMax="47" xr10:uidLastSave="{00000000-0000-0000-0000-000000000000}"/>
  <bookViews>
    <workbookView xWindow="-110" yWindow="-110" windowWidth="19420" windowHeight="10300" activeTab="1" xr2:uid="{00000000-000D-0000-FFFF-FFFF00000000}"/>
  </bookViews>
  <sheets>
    <sheet name="Eléments de codification" sheetId="2" r:id="rId1"/>
    <sheet name="Inventaire" sheetId="1"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7" i="1" l="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alcChain>
</file>

<file path=xl/sharedStrings.xml><?xml version="1.0" encoding="utf-8"?>
<sst xmlns="http://schemas.openxmlformats.org/spreadsheetml/2006/main" count="83" uniqueCount="70">
  <si>
    <t>Indice</t>
  </si>
  <si>
    <t>Désignation</t>
  </si>
  <si>
    <t>Codification</t>
  </si>
  <si>
    <t>État</t>
  </si>
  <si>
    <t>Localisation</t>
  </si>
  <si>
    <t>N°</t>
  </si>
  <si>
    <t>Année d'acquisition</t>
  </si>
  <si>
    <t>Abréviation</t>
  </si>
  <si>
    <t>Critères</t>
  </si>
  <si>
    <t>Catégorie d'équipement</t>
  </si>
  <si>
    <t>Mobilier</t>
  </si>
  <si>
    <t>MOB</t>
  </si>
  <si>
    <t>INF</t>
  </si>
  <si>
    <t>Informatique et bureautique</t>
  </si>
  <si>
    <t>Cette catégorie regroupe tout le matériel destiné à l’aménagement et au confort des espaces de travail. On distingue le mobilier de bureau (bureaux, chaises, fauteuils), le mobilier de rangement (armoires, étagères, casiers) et le mobilier d’accueil ou de réunion (tables de réunion, comptoirs d’accueil). Ces équipements sont essentiels pour organiser les espaces, garantir la fonctionnalité et améliorer l’ergonomie au quotidien.</t>
  </si>
  <si>
    <t>Cette catégorie comprend l’ensemble du matériel lié aux technologies de l’information et aux outils de gestion. Elle inclut l’informatique fixe (ordinateurs de bureau, serveurs), l’informatique portable (PC portables, tablettes), les périphériques et systèmes d’impression (imprimantes, scanners, photocopieurs) ainsi que le matériel de communication (téléphones, vidéoprojecteurs, écrans). Ces équipements assurent la productivité, la communication et le traitement efficace de l’information.</t>
  </si>
  <si>
    <t>Détail</t>
  </si>
  <si>
    <t>Localisation de l'équipement</t>
  </si>
  <si>
    <t>Magasin</t>
  </si>
  <si>
    <t>MAG</t>
  </si>
  <si>
    <t>Couloir</t>
  </si>
  <si>
    <t>PRO</t>
  </si>
  <si>
    <t>Observations</t>
  </si>
  <si>
    <t>Exemple</t>
  </si>
  <si>
    <t>Numérique</t>
  </si>
  <si>
    <t>…</t>
  </si>
  <si>
    <t xml:space="preserve"> Nom de commun de l'équipement</t>
  </si>
  <si>
    <t xml:space="preserve">Les trois premières lettres du nom commun </t>
  </si>
  <si>
    <t>Etat de l'équipement</t>
  </si>
  <si>
    <t>Bon</t>
  </si>
  <si>
    <t>Catégorie</t>
  </si>
  <si>
    <t>Mauvais</t>
  </si>
  <si>
    <t>Très bon</t>
  </si>
  <si>
    <t xml:space="preserve">Equipement neuf </t>
  </si>
  <si>
    <t>Equipement dans un état nécessitant un renouvellement dans un court moyen terme</t>
  </si>
  <si>
    <t>Equipement ayant déjà fait l'objet de quelques maintenances correctives ou reparations</t>
  </si>
  <si>
    <t>BEG/ Catégorie /Nom commun de l'équipement/Localisation / Indice / Année d'acquisition</t>
  </si>
  <si>
    <t>Bureau du CEO</t>
  </si>
  <si>
    <t>Bureau du COO</t>
  </si>
  <si>
    <t>Bureau des consultants</t>
  </si>
  <si>
    <t xml:space="preserve">Salle de formation </t>
  </si>
  <si>
    <t>SFO</t>
  </si>
  <si>
    <t>CEO</t>
  </si>
  <si>
    <t>COO</t>
  </si>
  <si>
    <t>CON</t>
  </si>
  <si>
    <t>Bureau du CFO et EA</t>
  </si>
  <si>
    <t>ADM</t>
  </si>
  <si>
    <t>Bureau DEV et Comerciale</t>
  </si>
  <si>
    <t>DEC</t>
  </si>
  <si>
    <t>Sécrétariat</t>
  </si>
  <si>
    <t>Cuisine</t>
  </si>
  <si>
    <t>CUI</t>
  </si>
  <si>
    <t>Guérite</t>
  </si>
  <si>
    <t>GUR</t>
  </si>
  <si>
    <t>SEC</t>
  </si>
  <si>
    <r>
      <t xml:space="preserve">Numéro de l'équipement dans l'ensemble portant le même nom commun en trois caractères. </t>
    </r>
    <r>
      <rPr>
        <b/>
        <sz val="12"/>
        <color theme="1"/>
        <rFont val="Cambria"/>
        <family val="1"/>
      </rPr>
      <t>Exemple :</t>
    </r>
    <r>
      <rPr>
        <sz val="12"/>
        <color theme="1"/>
        <rFont val="Cambria"/>
        <family val="1"/>
      </rPr>
      <t xml:space="preserve"> Chaise (…/CHA/001/…; …/CHA/002/…; etc.)</t>
    </r>
  </si>
  <si>
    <t>Electroménagers</t>
  </si>
  <si>
    <t xml:space="preserve">Protection </t>
  </si>
  <si>
    <t>MEN</t>
  </si>
  <si>
    <t>Elle couvre tous les appareils électoménagers et donc les appareils fonctionnant à l’électricité et utilisé dans la maison pour améliorer le confort ou faciliter les tâches quotidiennes. (micro onde, chauffe eaux etc…)</t>
  </si>
  <si>
    <t>Cette catégorie couvre les équipements destinés à assurer la sécurité des personnes et des biens ou produits, ainsi que la préservation du patrimoine matériel. Elle comprend la sécurité incendie (extincteurs, détecteurs de fumée), la sécurité des biens (coffres-forts, armoires sécurisées). Ces dispositifs sont essentiels pour protéger les utilisateurs, sécuriser les ressources et préserver les conditions optimales de stockage.</t>
  </si>
  <si>
    <t>COU</t>
  </si>
  <si>
    <t>ECRAN SAMSUNG 50'</t>
  </si>
  <si>
    <t xml:space="preserve">INVENTAIRE DES EQUIPEMENTS </t>
  </si>
  <si>
    <t>Code :</t>
  </si>
  <si>
    <t>Version :</t>
  </si>
  <si>
    <t>Date :</t>
  </si>
  <si>
    <t>EX : BEG/INF/ECR/CEO/001/2025</t>
  </si>
  <si>
    <t>ORDINTEUR HP</t>
  </si>
  <si>
    <t>BIC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</si>
</sst>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
  </numFmts>
  <fonts count="15" x14ac:knownFonts="1">
    <font>
      <sz val="11"/>
      <color theme="1"/>
      <name val="Calibri"/>
      <family val="2"/>
      <scheme val="minor"/>
    </font>
    <font>
      <b/>
      <sz val="16"/>
      <color theme="1"/>
      <name val="Amasis MT Pro"/>
      <family val="1"/>
    </font>
    <font>
      <sz val="12"/>
      <color theme="1"/>
      <name val="Amasis MT Pro"/>
      <family val="1"/>
    </font>
    <font>
      <b/>
      <sz val="12"/>
      <color theme="1"/>
      <name val="Amasis MT Pro"/>
      <family val="1"/>
    </font>
    <font>
      <sz val="14"/>
      <color theme="1"/>
      <name val="Angsana New"/>
      <family val="1"/>
      <charset val="222"/>
    </font>
    <font>
      <sz val="14"/>
      <color theme="1"/>
      <name val="Amasis MT Pro"/>
      <family val="1"/>
    </font>
    <font>
      <b/>
      <sz val="20"/>
      <color theme="1"/>
      <name val="Amasis MT Pro Black"/>
      <family val="1"/>
    </font>
    <font>
      <b/>
      <sz val="14"/>
      <color theme="1"/>
      <name val="Amasis MT Pro"/>
      <family val="1"/>
    </font>
    <font>
      <b/>
      <sz val="12"/>
      <name val="Amasis MT Pro"/>
      <family val="1"/>
    </font>
    <font>
      <b/>
      <sz val="14"/>
      <color theme="1"/>
      <name val="Cambria"/>
      <family val="1"/>
    </font>
    <font>
      <b/>
      <sz val="12"/>
      <color theme="1"/>
      <name val="Cambria"/>
      <family val="1"/>
    </font>
    <font>
      <sz val="14"/>
      <color theme="1"/>
      <name val="Cambria"/>
      <family val="1"/>
    </font>
    <font>
      <sz val="12"/>
      <color theme="1"/>
      <name val="Cambria"/>
      <family val="1"/>
    </font>
    <font>
      <sz val="12"/>
      <name val="Cambria"/>
      <family val="1"/>
    </font>
    <font>
      <b/>
      <sz val="12"/>
      <name val="Cambria"/>
      <family val="1"/>
    </font>
  </fonts>
  <fills count="6">
    <fill>
      <patternFill patternType="none"/>
    </fill>
    <fill>
      <patternFill patternType="gray125"/>
    </fill>
    <fill>
      <patternFill patternType="solid">
        <fgColor rgb="FF00B0F0"/>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theme="4"/>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auto="1"/>
      </left>
      <right/>
      <top style="thin">
        <color auto="1"/>
      </top>
      <bottom style="thin">
        <color auto="1"/>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auto="1"/>
      </left>
      <right/>
      <top/>
      <bottom style="thin">
        <color auto="1"/>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auto="1"/>
      </left>
      <right/>
      <top style="thin">
        <color auto="1"/>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bottom style="medium">
        <color indexed="64"/>
      </bottom>
      <diagonal/>
    </border>
  </borders>
  <cellStyleXfs count="1">
    <xf numFmtId="0" fontId="0" fillId="0" borderId="0"/>
  </cellStyleXfs>
  <cellXfs count="56">
    <xf numFmtId="0" fontId="0" fillId="0" borderId="0" xfId="0"/>
    <xf numFmtId="0" fontId="4" fillId="0" borderId="0" xfId="0" applyFont="1"/>
    <xf numFmtId="0" fontId="4" fillId="0" borderId="0" xfId="0" applyFont="1" applyAlignment="1">
      <alignment wrapText="1"/>
    </xf>
    <xf numFmtId="0" fontId="6" fillId="0" borderId="0" xfId="0" applyFont="1" applyAlignment="1">
      <alignment horizontal="center"/>
    </xf>
    <xf numFmtId="0" fontId="7" fillId="0" borderId="0" xfId="0" applyFont="1" applyAlignment="1">
      <alignment wrapText="1"/>
    </xf>
    <xf numFmtId="0" fontId="5" fillId="0" borderId="0" xfId="0" applyFont="1" applyAlignment="1">
      <alignment horizontal="center" wrapText="1"/>
    </xf>
    <xf numFmtId="0" fontId="2" fillId="0" borderId="0" xfId="0" applyFont="1" applyAlignment="1">
      <alignment horizontal="left" vertical="center"/>
    </xf>
    <xf numFmtId="0" fontId="2" fillId="0" borderId="1" xfId="0" applyFont="1" applyBorder="1" applyAlignment="1">
      <alignment horizontal="left" vertical="center"/>
    </xf>
    <xf numFmtId="0" fontId="2" fillId="0" borderId="8" xfId="0" applyFont="1" applyBorder="1" applyAlignment="1">
      <alignment horizontal="left" vertical="center"/>
    </xf>
    <xf numFmtId="0" fontId="2" fillId="0" borderId="0" xfId="0" applyFont="1" applyAlignment="1">
      <alignment horizontal="center" vertical="center"/>
    </xf>
    <xf numFmtId="49" fontId="2" fillId="0" borderId="0" xfId="0" applyNumberFormat="1" applyFont="1" applyAlignment="1">
      <alignment horizontal="center" vertical="center"/>
    </xf>
    <xf numFmtId="0" fontId="2" fillId="0" borderId="3" xfId="0" applyFont="1" applyBorder="1" applyAlignment="1">
      <alignment horizontal="center" vertical="center"/>
    </xf>
    <xf numFmtId="0" fontId="2" fillId="0" borderId="7" xfId="0" applyFont="1" applyBorder="1" applyAlignment="1">
      <alignment horizontal="center" vertical="center"/>
    </xf>
    <xf numFmtId="0" fontId="2" fillId="0" borderId="2" xfId="0" applyFont="1" applyBorder="1" applyAlignment="1">
      <alignment horizontal="left" vertical="center"/>
    </xf>
    <xf numFmtId="0" fontId="2" fillId="0" borderId="9" xfId="0" applyFont="1" applyBorder="1" applyAlignment="1">
      <alignment horizontal="left" vertical="center"/>
    </xf>
    <xf numFmtId="165" fontId="2" fillId="0" borderId="0" xfId="0" applyNumberFormat="1" applyFont="1" applyAlignment="1">
      <alignment horizontal="left" vertical="center"/>
    </xf>
    <xf numFmtId="165" fontId="2" fillId="0" borderId="1" xfId="0" applyNumberFormat="1" applyFont="1" applyBorder="1" applyAlignment="1">
      <alignment horizontal="left" vertical="center"/>
    </xf>
    <xf numFmtId="165" fontId="2" fillId="0" borderId="8" xfId="0" applyNumberFormat="1" applyFont="1" applyBorder="1" applyAlignment="1">
      <alignment horizontal="left" vertical="center"/>
    </xf>
    <xf numFmtId="164" fontId="2" fillId="0" borderId="1" xfId="0" applyNumberFormat="1" applyFont="1" applyBorder="1" applyAlignment="1">
      <alignment horizontal="center" vertical="center"/>
    </xf>
    <xf numFmtId="164" fontId="2" fillId="0" borderId="8" xfId="0" applyNumberFormat="1" applyFont="1" applyBorder="1" applyAlignment="1">
      <alignment horizontal="center" vertical="center"/>
    </xf>
    <xf numFmtId="0" fontId="8" fillId="0" borderId="0" xfId="0" applyFont="1" applyAlignment="1">
      <alignment horizontal="center" vertical="center" wrapText="1"/>
    </xf>
    <xf numFmtId="0" fontId="9" fillId="2" borderId="1"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0" borderId="1" xfId="0" applyFont="1" applyBorder="1" applyAlignment="1">
      <alignment vertical="center" wrapText="1"/>
    </xf>
    <xf numFmtId="0" fontId="12" fillId="0" borderId="1" xfId="0" applyFont="1" applyBorder="1" applyAlignment="1">
      <alignment horizontal="center" vertical="center" wrapText="1"/>
    </xf>
    <xf numFmtId="0" fontId="12" fillId="0" borderId="1" xfId="0" applyFont="1" applyBorder="1" applyAlignment="1">
      <alignment vertical="center" wrapText="1"/>
    </xf>
    <xf numFmtId="0" fontId="12" fillId="0" borderId="1" xfId="0" applyFont="1" applyBorder="1" applyAlignment="1">
      <alignment wrapText="1"/>
    </xf>
    <xf numFmtId="0" fontId="13" fillId="0" borderId="1" xfId="0" applyFont="1" applyBorder="1" applyAlignment="1">
      <alignment vertical="center" wrapText="1"/>
    </xf>
    <xf numFmtId="0" fontId="14" fillId="0" borderId="1" xfId="0" applyFont="1" applyBorder="1" applyAlignment="1">
      <alignment vertical="center" wrapText="1"/>
    </xf>
    <xf numFmtId="0" fontId="11" fillId="0" borderId="0" xfId="0" applyFont="1" applyAlignment="1">
      <alignment horizontal="center" wrapText="1"/>
    </xf>
    <xf numFmtId="0" fontId="8" fillId="5" borderId="4" xfId="0" applyFont="1" applyFill="1" applyBorder="1" applyAlignment="1">
      <alignment horizontal="center" vertical="center"/>
    </xf>
    <xf numFmtId="49" fontId="8" fillId="5" borderId="5" xfId="0" applyNumberFormat="1" applyFont="1" applyFill="1" applyBorder="1" applyAlignment="1">
      <alignment horizontal="center" vertical="center"/>
    </xf>
    <xf numFmtId="0" fontId="8" fillId="5" borderId="5" xfId="0" applyFont="1" applyFill="1" applyBorder="1" applyAlignment="1">
      <alignment horizontal="center" vertical="center"/>
    </xf>
    <xf numFmtId="165" fontId="8" fillId="5" borderId="5" xfId="0" applyNumberFormat="1" applyFont="1" applyFill="1" applyBorder="1" applyAlignment="1">
      <alignment horizontal="center" vertical="center" wrapText="1"/>
    </xf>
    <xf numFmtId="0" fontId="8" fillId="5" borderId="6" xfId="0" applyFont="1" applyFill="1" applyBorder="1" applyAlignment="1">
      <alignment horizontal="center" vertical="center"/>
    </xf>
    <xf numFmtId="0" fontId="3" fillId="0" borderId="10" xfId="0" applyFont="1" applyBorder="1" applyAlignment="1">
      <alignment vertical="center"/>
    </xf>
    <xf numFmtId="0" fontId="3" fillId="0" borderId="22" xfId="0" applyFont="1" applyBorder="1" applyAlignment="1">
      <alignment vertical="center"/>
    </xf>
    <xf numFmtId="0" fontId="12" fillId="0" borderId="0" xfId="0" applyFont="1" applyAlignment="1">
      <alignment vertical="center" wrapText="1"/>
    </xf>
    <xf numFmtId="0" fontId="9" fillId="5" borderId="0" xfId="0" applyFont="1" applyFill="1" applyAlignment="1">
      <alignment vertical="center" wrapText="1"/>
    </xf>
    <xf numFmtId="0" fontId="10" fillId="3" borderId="1" xfId="0" applyFont="1" applyFill="1" applyBorder="1" applyAlignment="1">
      <alignment horizontal="center" vertical="center"/>
    </xf>
    <xf numFmtId="0" fontId="10" fillId="4" borderId="1" xfId="0" applyFont="1" applyFill="1" applyBorder="1" applyAlignment="1">
      <alignment horizontal="center" vertical="center"/>
    </xf>
    <xf numFmtId="0" fontId="2" fillId="0" borderId="19" xfId="0" applyFont="1" applyBorder="1" applyAlignment="1">
      <alignment horizontal="center" vertical="center"/>
    </xf>
    <xf numFmtId="0" fontId="2" fillId="0" borderId="20" xfId="0" applyFont="1" applyBorder="1" applyAlignment="1">
      <alignment horizontal="center" vertical="center"/>
    </xf>
    <xf numFmtId="0" fontId="2" fillId="0" borderId="21" xfId="0" applyFont="1" applyBorder="1" applyAlignment="1">
      <alignment horizontal="center" vertical="center"/>
    </xf>
    <xf numFmtId="165" fontId="3" fillId="0" borderId="11" xfId="0" applyNumberFormat="1" applyFont="1" applyBorder="1" applyAlignment="1">
      <alignment horizontal="center" vertical="center" wrapText="1"/>
    </xf>
    <xf numFmtId="165" fontId="3" fillId="0" borderId="13" xfId="0" applyNumberFormat="1" applyFont="1" applyBorder="1" applyAlignment="1">
      <alignment horizontal="center" vertical="center" wrapText="1"/>
    </xf>
    <xf numFmtId="165" fontId="3" fillId="0" borderId="14" xfId="0" applyNumberFormat="1" applyFont="1" applyBorder="1" applyAlignment="1">
      <alignment horizontal="center" vertical="center" wrapText="1"/>
    </xf>
    <xf numFmtId="165" fontId="3" fillId="0" borderId="15" xfId="0" applyNumberFormat="1" applyFont="1" applyBorder="1" applyAlignment="1">
      <alignment horizontal="center" vertical="center" wrapText="1"/>
    </xf>
    <xf numFmtId="165" fontId="3" fillId="0" borderId="16" xfId="0" applyNumberFormat="1" applyFont="1" applyBorder="1" applyAlignment="1">
      <alignment horizontal="center" vertical="center" wrapText="1"/>
    </xf>
    <xf numFmtId="165" fontId="3" fillId="0" borderId="18" xfId="0" applyNumberFormat="1" applyFont="1" applyBorder="1" applyAlignment="1">
      <alignment horizontal="center" vertical="center" wrapText="1"/>
    </xf>
    <xf numFmtId="0" fontId="1" fillId="0" borderId="11" xfId="0" applyFont="1" applyBorder="1" applyAlignment="1">
      <alignment horizontal="center" vertical="center" wrapText="1"/>
    </xf>
    <xf numFmtId="0" fontId="1" fillId="0" borderId="12" xfId="0" applyFont="1" applyBorder="1" applyAlignment="1">
      <alignment horizontal="center" vertical="center" wrapText="1"/>
    </xf>
    <xf numFmtId="0" fontId="1" fillId="0" borderId="13" xfId="0" applyFont="1" applyBorder="1" applyAlignment="1">
      <alignment horizontal="center" vertical="center" wrapText="1"/>
    </xf>
    <xf numFmtId="0" fontId="1" fillId="0" borderId="16"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cellXfs>
  <cellStyles count="1">
    <cellStyle name="Normal" xfId="0" builtinId="0"/>
  </cellStyles>
  <dxfs count="14">
    <dxf>
      <font>
        <b val="0"/>
        <i val="0"/>
        <strike val="0"/>
        <condense val="0"/>
        <extend val="0"/>
        <outline val="0"/>
        <shadow val="0"/>
        <u val="none"/>
        <vertAlign val="baseline"/>
        <sz val="12"/>
        <color theme="1"/>
        <name val="Amasis MT Pro"/>
        <family val="1"/>
        <scheme val="none"/>
      </font>
      <alignment horizontal="left" vertical="center" textRotation="0" indent="0" justifyLastLine="0" shrinkToFit="0" readingOrder="0"/>
      <border diagonalUp="0" diagonalDown="0" outline="0">
        <left style="thin">
          <color auto="1"/>
        </left>
        <right/>
        <top style="thin">
          <color auto="1"/>
        </top>
        <bottom style="thin">
          <color auto="1"/>
        </bottom>
      </border>
    </dxf>
    <dxf>
      <font>
        <b val="0"/>
        <i val="0"/>
        <strike val="0"/>
        <condense val="0"/>
        <extend val="0"/>
        <outline val="0"/>
        <shadow val="0"/>
        <u val="none"/>
        <vertAlign val="baseline"/>
        <sz val="12"/>
        <color theme="1"/>
        <name val="Amasis MT Pro"/>
        <family val="1"/>
        <scheme val="none"/>
      </font>
      <numFmt numFmtId="0" formatCode="General"/>
      <alignment horizontal="left" vertical="center"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masis MT Pro"/>
        <family val="1"/>
        <scheme val="none"/>
      </font>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masis MT Pro"/>
        <family val="1"/>
        <scheme val="none"/>
      </font>
      <numFmt numFmtId="165" formatCode="0000"/>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masis MT Pro"/>
        <family val="1"/>
        <scheme val="none"/>
      </font>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masis MT Pro"/>
        <family val="1"/>
        <scheme val="none"/>
      </font>
      <numFmt numFmtId="164"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masis MT Pro"/>
        <family val="1"/>
        <scheme val="none"/>
      </font>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masis MT Pro"/>
        <family val="1"/>
        <scheme val="none"/>
      </font>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masis MT Pro"/>
        <family val="1"/>
        <scheme val="none"/>
      </font>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auto="1"/>
        </top>
      </border>
    </dxf>
    <dxf>
      <border outline="0">
        <left style="thin">
          <color indexed="64"/>
        </left>
        <right style="thin">
          <color indexed="64"/>
        </right>
        <top style="thin">
          <color auto="1"/>
        </top>
        <bottom style="thin">
          <color auto="1"/>
        </bottom>
      </border>
    </dxf>
    <dxf>
      <font>
        <strike val="0"/>
        <outline val="0"/>
        <shadow val="0"/>
        <u val="none"/>
        <vertAlign val="baseline"/>
        <sz val="12"/>
        <name val="Amasis MT Pro"/>
        <family val="1"/>
        <scheme val="none"/>
      </font>
      <alignment horizontal="left" vertical="center" textRotation="0" indent="0" justifyLastLine="0" shrinkToFit="0" readingOrder="0"/>
    </dxf>
    <dxf>
      <border outline="0">
        <bottom style="thin">
          <color auto="1"/>
        </bottom>
      </border>
    </dxf>
    <dxf>
      <font>
        <b/>
        <i val="0"/>
        <strike val="0"/>
        <condense val="0"/>
        <extend val="0"/>
        <outline val="0"/>
        <shadow val="0"/>
        <u val="none"/>
        <vertAlign val="baseline"/>
        <sz val="12"/>
        <color auto="1"/>
        <name val="Amasis MT Pro"/>
        <family val="1"/>
        <scheme val="none"/>
      </font>
      <fill>
        <patternFill patternType="solid">
          <fgColor indexed="64"/>
          <bgColor theme="4"/>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215900</xdr:colOff>
      <xdr:row>1</xdr:row>
      <xdr:rowOff>63500</xdr:rowOff>
    </xdr:from>
    <xdr:to>
      <xdr:col>2</xdr:col>
      <xdr:colOff>1644650</xdr:colOff>
      <xdr:row>3</xdr:row>
      <xdr:rowOff>200134</xdr:rowOff>
    </xdr:to>
    <xdr:pic>
      <xdr:nvPicPr>
        <xdr:cNvPr id="2" name="Image 1">
          <a:extLst>
            <a:ext uri="{FF2B5EF4-FFF2-40B4-BE49-F238E27FC236}">
              <a16:creationId xmlns:a16="http://schemas.microsoft.com/office/drawing/2014/main" id="{FDEAC124-6AA5-00F1-B8EF-BE98A451EDFB}"/>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3641" b="17432"/>
        <a:stretch/>
      </xdr:blipFill>
      <xdr:spPr bwMode="auto">
        <a:xfrm>
          <a:off x="1016000" y="273050"/>
          <a:ext cx="1428750" cy="841484"/>
        </a:xfrm>
        <a:prstGeom prst="rect">
          <a:avLst/>
        </a:prstGeom>
        <a:ln>
          <a:noFill/>
        </a:ln>
        <a:extLst>
          <a:ext uri="{53640926-AAD7-44D8-BBD7-CCE9431645EC}">
            <a14:shadowObscured xmlns:a14="http://schemas.microsoft.com/office/drawing/2010/main"/>
          </a:ext>
        </a:extLst>
      </xdr:spPr>
    </xdr:pic>
    <xdr:clientData/>
  </xdr:twoCellAnchor>
  <xdr:twoCellAnchor editAs="oneCell">
    <xdr:from>
      <xdr:col>6</xdr:col>
      <xdr:colOff>482600</xdr:colOff>
      <xdr:row>1</xdr:row>
      <xdr:rowOff>44450</xdr:rowOff>
    </xdr:from>
    <xdr:to>
      <xdr:col>7</xdr:col>
      <xdr:colOff>374650</xdr:colOff>
      <xdr:row>3</xdr:row>
      <xdr:rowOff>237952</xdr:rowOff>
    </xdr:to>
    <xdr:pic>
      <xdr:nvPicPr>
        <xdr:cNvPr id="3" name="Image 2">
          <a:extLst>
            <a:ext uri="{FF2B5EF4-FFF2-40B4-BE49-F238E27FC236}">
              <a16:creationId xmlns:a16="http://schemas.microsoft.com/office/drawing/2014/main" id="{59D47ECC-D287-4D47-A95D-505AA70B849B}"/>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7412" r="8654" b="9756"/>
        <a:stretch/>
      </xdr:blipFill>
      <xdr:spPr bwMode="auto">
        <a:xfrm>
          <a:off x="9048750" y="254000"/>
          <a:ext cx="939800" cy="898352"/>
        </a:xfrm>
        <a:prstGeom prst="rect">
          <a:avLst/>
        </a:prstGeom>
        <a:noFill/>
        <a:ln>
          <a:noFill/>
        </a:ln>
        <a:extLst>
          <a:ext uri="{53640926-AAD7-44D8-BBD7-CCE9431645EC}">
            <a14:shadowObscured xmlns:a14="http://schemas.microsoft.com/office/drawing/2010/main"/>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D74A633-0EC2-48FA-980A-79A27FAF3F5C}" name="Tableau1" displayName="Tableau1" ref="B6:J126" totalsRowShown="0" headerRowDxfId="13" dataDxfId="11" headerRowBorderDxfId="12" tableBorderDxfId="10" totalsRowBorderDxfId="9">
  <autoFilter ref="B6:J126" xr:uid="{9D74A633-0EC2-48FA-980A-79A27FAF3F5C}"/>
  <tableColumns count="9">
    <tableColumn id="1" xr3:uid="{1A2CCBE3-D2A1-4FDC-9436-5D8E3B96B729}" name="N°" dataDxfId="8"/>
    <tableColumn id="2" xr3:uid="{87C5C017-7844-4FCE-9E13-32062D99B2AE}" name="Catégorie" dataDxfId="7"/>
    <tableColumn id="3" xr3:uid="{D4E910BF-70B0-4390-AA8C-9437D80A32F7}" name="Désignation" dataDxfId="6"/>
    <tableColumn id="6" xr3:uid="{4252679C-0C0E-42B0-8479-4A1F6E49F494}" name="Indice" dataDxfId="5"/>
    <tableColumn id="4" xr3:uid="{74DE559F-E618-4DB4-A8A3-B4DECC824B36}" name="Localisation" dataDxfId="4"/>
    <tableColumn id="5" xr3:uid="{6B92AA15-EF65-40A9-BA34-08B8764A27C8}" name="Année d'acquisition" dataDxfId="3"/>
    <tableColumn id="7" xr3:uid="{0222B998-A2CC-44F5-ADD7-00585851F16C}" name="État" dataDxfId="2"/>
    <tableColumn id="8" xr3:uid="{B858044B-C7FA-46E1-92D8-6F19F6B935F1}" name="Codification" dataDxfId="1">
      <calculatedColumnFormula>"BEG/" &amp;
IF(C7="Mobilier","MOB",
IF(C7="Informatique et bureautique","INF",
IF(C7="Electroménagers","MEN",
IF(C7="Protection","PRO","XXX")))) &amp; "/" &amp;
UPPER(LEFT(D7,3)) &amp; "/" &amp;
IF(F7="Salle de formation","SFO",
IF(F7="Magasin","MAG",
IF(F7="Bureau du CEO","CEO",
IF(F7="Bureau du COO","COO",
IF(F7="Bureau des consultants","CON",
IF(F7="Bureau du CFO et EA","ADM",
IF(F7="Bureau DEV et Commercial","DEC",
IF(F7="Sécrétariat","SEC",
IF(F7="Couloir","COU",
IF(F7="Guérite","GUE",
IF(F7="Cuisine","CUI","XXX"))))))))))) &amp; "/" &amp;
TEXT(E7,"000") &amp; "/" &amp; TEXT(G7,"0000")</calculatedColumnFormula>
    </tableColumn>
    <tableColumn id="9" xr3:uid="{327E4699-2ACC-444F-96AD-F1785FB92150}" name="Observations" dataDxfId="0"/>
  </tableColumns>
  <tableStyleInfo name="TableStyleLight12"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D67BB-2954-4B65-845A-23826005A0C7}">
  <dimension ref="B2:D30"/>
  <sheetViews>
    <sheetView showGridLines="0" zoomScale="96" workbookViewId="0">
      <selection activeCell="D7" sqref="D7"/>
    </sheetView>
  </sheetViews>
  <sheetFormatPr baseColWidth="10" defaultColWidth="11.54296875" defaultRowHeight="20" x14ac:dyDescent="0.6"/>
  <cols>
    <col min="1" max="1" width="6.453125" style="1" customWidth="1"/>
    <col min="2" max="2" width="33.453125" style="4" customWidth="1"/>
    <col min="3" max="3" width="16.36328125" style="5" customWidth="1"/>
    <col min="4" max="4" width="152" style="2" customWidth="1"/>
    <col min="5" max="16384" width="11.54296875" style="1"/>
  </cols>
  <sheetData>
    <row r="2" spans="2:4" x14ac:dyDescent="0.6">
      <c r="B2" s="21" t="s">
        <v>2</v>
      </c>
      <c r="C2" s="29"/>
      <c r="D2" s="38" t="s">
        <v>36</v>
      </c>
    </row>
    <row r="3" spans="2:4" x14ac:dyDescent="0.6">
      <c r="B3" s="21" t="s">
        <v>23</v>
      </c>
      <c r="C3" s="29"/>
      <c r="D3" s="37" t="s">
        <v>67</v>
      </c>
    </row>
    <row r="5" spans="2:4" s="3" customFormat="1" ht="26.4" customHeight="1" x14ac:dyDescent="0.55000000000000004">
      <c r="B5" s="22" t="s">
        <v>8</v>
      </c>
      <c r="C5" s="22" t="s">
        <v>7</v>
      </c>
      <c r="D5" s="22" t="s">
        <v>16</v>
      </c>
    </row>
    <row r="6" spans="2:4" x14ac:dyDescent="0.6">
      <c r="B6" s="39" t="s">
        <v>9</v>
      </c>
      <c r="C6" s="39"/>
      <c r="D6" s="39"/>
    </row>
    <row r="7" spans="2:4" ht="45" x14ac:dyDescent="0.6">
      <c r="B7" s="23" t="s">
        <v>10</v>
      </c>
      <c r="C7" s="24" t="s">
        <v>11</v>
      </c>
      <c r="D7" s="25" t="s">
        <v>14</v>
      </c>
    </row>
    <row r="8" spans="2:4" ht="60" x14ac:dyDescent="0.6">
      <c r="B8" s="23" t="s">
        <v>13</v>
      </c>
      <c r="C8" s="24" t="s">
        <v>12</v>
      </c>
      <c r="D8" s="25" t="s">
        <v>15</v>
      </c>
    </row>
    <row r="9" spans="2:4" ht="30" x14ac:dyDescent="0.6">
      <c r="B9" s="23" t="s">
        <v>56</v>
      </c>
      <c r="C9" s="24" t="s">
        <v>58</v>
      </c>
      <c r="D9" s="25" t="s">
        <v>59</v>
      </c>
    </row>
    <row r="10" spans="2:4" ht="45" x14ac:dyDescent="0.6">
      <c r="B10" s="23" t="s">
        <v>57</v>
      </c>
      <c r="C10" s="24" t="s">
        <v>21</v>
      </c>
      <c r="D10" s="25" t="s">
        <v>60</v>
      </c>
    </row>
    <row r="11" spans="2:4" x14ac:dyDescent="0.6">
      <c r="B11" s="40" t="s">
        <v>17</v>
      </c>
      <c r="C11" s="40"/>
      <c r="D11" s="40"/>
    </row>
    <row r="12" spans="2:4" x14ac:dyDescent="0.6">
      <c r="B12" s="23" t="s">
        <v>18</v>
      </c>
      <c r="C12" s="24" t="s">
        <v>19</v>
      </c>
      <c r="D12" s="25"/>
    </row>
    <row r="13" spans="2:4" ht="27" customHeight="1" x14ac:dyDescent="0.6">
      <c r="B13" s="23" t="s">
        <v>40</v>
      </c>
      <c r="C13" s="24" t="s">
        <v>41</v>
      </c>
      <c r="D13" s="25"/>
    </row>
    <row r="14" spans="2:4" x14ac:dyDescent="0.6">
      <c r="B14" s="23" t="s">
        <v>37</v>
      </c>
      <c r="C14" s="24" t="s">
        <v>42</v>
      </c>
      <c r="D14" s="25"/>
    </row>
    <row r="15" spans="2:4" x14ac:dyDescent="0.6">
      <c r="B15" s="23" t="s">
        <v>38</v>
      </c>
      <c r="C15" s="24" t="s">
        <v>43</v>
      </c>
      <c r="D15" s="25"/>
    </row>
    <row r="16" spans="2:4" x14ac:dyDescent="0.6">
      <c r="B16" s="23" t="s">
        <v>39</v>
      </c>
      <c r="C16" s="24" t="s">
        <v>44</v>
      </c>
      <c r="D16" s="25"/>
    </row>
    <row r="17" spans="2:4" x14ac:dyDescent="0.6">
      <c r="B17" s="23" t="s">
        <v>45</v>
      </c>
      <c r="C17" s="24" t="s">
        <v>46</v>
      </c>
      <c r="D17" s="25"/>
    </row>
    <row r="18" spans="2:4" ht="23.5" customHeight="1" x14ac:dyDescent="0.6">
      <c r="B18" s="23" t="s">
        <v>47</v>
      </c>
      <c r="C18" s="24" t="s">
        <v>48</v>
      </c>
      <c r="D18" s="25"/>
    </row>
    <row r="19" spans="2:4" x14ac:dyDescent="0.6">
      <c r="B19" s="23" t="s">
        <v>49</v>
      </c>
      <c r="C19" s="24" t="s">
        <v>54</v>
      </c>
      <c r="D19" s="25"/>
    </row>
    <row r="20" spans="2:4" x14ac:dyDescent="0.6">
      <c r="B20" s="23" t="s">
        <v>20</v>
      </c>
      <c r="C20" s="24" t="s">
        <v>61</v>
      </c>
      <c r="D20" s="26"/>
    </row>
    <row r="21" spans="2:4" x14ac:dyDescent="0.6">
      <c r="B21" s="23" t="s">
        <v>52</v>
      </c>
      <c r="C21" s="24" t="s">
        <v>53</v>
      </c>
      <c r="D21" s="26"/>
    </row>
    <row r="22" spans="2:4" x14ac:dyDescent="0.6">
      <c r="B22" s="23" t="s">
        <v>50</v>
      </c>
      <c r="C22" s="24" t="s">
        <v>51</v>
      </c>
      <c r="D22" s="26"/>
    </row>
    <row r="23" spans="2:4" x14ac:dyDescent="0.6">
      <c r="B23" s="40" t="s">
        <v>26</v>
      </c>
      <c r="C23" s="40"/>
      <c r="D23" s="40"/>
    </row>
    <row r="24" spans="2:4" x14ac:dyDescent="0.6">
      <c r="B24" s="23" t="s">
        <v>24</v>
      </c>
      <c r="C24" s="24" t="s">
        <v>25</v>
      </c>
      <c r="D24" s="25" t="s">
        <v>27</v>
      </c>
    </row>
    <row r="25" spans="2:4" x14ac:dyDescent="0.6">
      <c r="B25" s="40" t="s">
        <v>0</v>
      </c>
      <c r="C25" s="40"/>
      <c r="D25" s="40"/>
    </row>
    <row r="26" spans="2:4" x14ac:dyDescent="0.6">
      <c r="B26" s="23" t="s">
        <v>24</v>
      </c>
      <c r="C26" s="24" t="s">
        <v>25</v>
      </c>
      <c r="D26" s="25" t="s">
        <v>55</v>
      </c>
    </row>
    <row r="27" spans="2:4" x14ac:dyDescent="0.6">
      <c r="B27" s="40" t="s">
        <v>28</v>
      </c>
      <c r="C27" s="40"/>
      <c r="D27" s="40"/>
    </row>
    <row r="28" spans="2:4" x14ac:dyDescent="0.6">
      <c r="B28" s="23" t="s">
        <v>32</v>
      </c>
      <c r="C28" s="24" t="s">
        <v>25</v>
      </c>
      <c r="D28" s="27" t="s">
        <v>33</v>
      </c>
    </row>
    <row r="29" spans="2:4" x14ac:dyDescent="0.6">
      <c r="B29" s="23" t="s">
        <v>29</v>
      </c>
      <c r="C29" s="24" t="s">
        <v>25</v>
      </c>
      <c r="D29" s="27" t="s">
        <v>35</v>
      </c>
    </row>
    <row r="30" spans="2:4" x14ac:dyDescent="0.6">
      <c r="B30" s="28" t="s">
        <v>31</v>
      </c>
      <c r="C30" s="24" t="s">
        <v>25</v>
      </c>
      <c r="D30" s="27" t="s">
        <v>34</v>
      </c>
    </row>
  </sheetData>
  <mergeCells count="5">
    <mergeCell ref="B6:D6"/>
    <mergeCell ref="B11:D11"/>
    <mergeCell ref="B25:D25"/>
    <mergeCell ref="B23:D23"/>
    <mergeCell ref="B27:D2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J126"/>
  <sheetViews>
    <sheetView showGridLines="0" tabSelected="1" workbookViewId="0">
      <selection activeCell="D9" sqref="D9"/>
    </sheetView>
  </sheetViews>
  <sheetFormatPr baseColWidth="10" defaultColWidth="11.36328125" defaultRowHeight="16" x14ac:dyDescent="0.35"/>
  <cols>
    <col min="1" max="1" width="5" style="6" customWidth="1"/>
    <col min="2" max="2" width="6.453125" style="9" customWidth="1"/>
    <col min="3" max="3" width="28.453125" style="6" customWidth="1"/>
    <col min="4" max="4" width="37.26953125" style="6" customWidth="1"/>
    <col min="5" max="5" width="17.26953125" style="10" customWidth="1"/>
    <col min="6" max="6" width="33" style="6" customWidth="1"/>
    <col min="7" max="7" width="15" style="15" customWidth="1"/>
    <col min="8" max="8" width="11.36328125" style="6"/>
    <col min="9" max="9" width="35.453125" style="6" customWidth="1"/>
    <col min="10" max="10" width="27.54296875" style="6" customWidth="1"/>
    <col min="11" max="11" width="43.08984375" style="6" customWidth="1"/>
    <col min="12" max="16384" width="11.36328125" style="6"/>
  </cols>
  <sheetData>
    <row r="1" spans="2:10" ht="16.5" thickBot="1" x14ac:dyDescent="0.4"/>
    <row r="2" spans="2:10" ht="37.75" customHeight="1" x14ac:dyDescent="0.35">
      <c r="C2" s="41"/>
      <c r="D2" s="50" t="s">
        <v>63</v>
      </c>
      <c r="E2" s="51"/>
      <c r="F2" s="52"/>
      <c r="G2" s="44"/>
      <c r="H2" s="45"/>
    </row>
    <row r="3" spans="2:10" ht="18" customHeight="1" thickBot="1" x14ac:dyDescent="0.4">
      <c r="C3" s="42"/>
      <c r="D3" s="53"/>
      <c r="E3" s="54"/>
      <c r="F3" s="55"/>
      <c r="G3" s="46"/>
      <c r="H3" s="47"/>
    </row>
    <row r="4" spans="2:10" ht="21.65" customHeight="1" thickBot="1" x14ac:dyDescent="0.4">
      <c r="B4" s="20"/>
      <c r="C4" s="43"/>
      <c r="D4" s="35" t="s">
        <v>64</v>
      </c>
      <c r="E4" s="36" t="s">
        <v>65</v>
      </c>
      <c r="F4" s="35" t="s">
        <v>66</v>
      </c>
      <c r="G4" s="48"/>
      <c r="H4" s="49"/>
    </row>
    <row r="6" spans="2:10" s="9" customFormat="1" ht="40.25" customHeight="1" x14ac:dyDescent="0.35">
      <c r="B6" s="30" t="s">
        <v>5</v>
      </c>
      <c r="C6" s="32" t="s">
        <v>30</v>
      </c>
      <c r="D6" s="32" t="s">
        <v>1</v>
      </c>
      <c r="E6" s="31" t="s">
        <v>0</v>
      </c>
      <c r="F6" s="32" t="s">
        <v>4</v>
      </c>
      <c r="G6" s="33" t="s">
        <v>6</v>
      </c>
      <c r="H6" s="32" t="s">
        <v>3</v>
      </c>
      <c r="I6" s="32" t="s">
        <v>2</v>
      </c>
      <c r="J6" s="34" t="s">
        <v>22</v>
      </c>
    </row>
    <row r="7" spans="2:10" x14ac:dyDescent="0.35">
      <c r="B7" s="11">
        <v>1</v>
      </c>
      <c r="C7" s="7" t="s">
        <v>13</v>
      </c>
      <c r="D7" s="7" t="s">
        <v>62</v>
      </c>
      <c r="E7" s="18">
        <v>1</v>
      </c>
      <c r="F7" s="7" t="s">
        <v>37</v>
      </c>
      <c r="G7" s="16">
        <v>2025</v>
      </c>
      <c r="H7" s="7" t="s">
        <v>32</v>
      </c>
      <c r="I7" s="7" t="str">
        <f>"BEG/" &amp;
IF(C7="Mobilier","MOB",
IF(C7="Informatique et bureautique","INF",
IF(C7="Electroménagers","MEN",
IF(C7="Protection","PRO","XXX")))) &amp; "/" &amp;
UPPER(LEFT(D7,3)) &amp; "/" &amp;
IF(F7="Salle de formation","SFO",
IF(F7="Magasin","MAG",
IF(F7="Bureau du CEO","CEO",
IF(F7="Bureau du COO","COO",
IF(F7="Bureau des consultants","CON",
IF(F7="Bureau du CFO et EA","ADM",
IF(F7="Bureau DEV et Commercial","DEC",
IF(F7="Sécrétariat","SEC",
IF(F7="Couloir","COU",
IF(F7="Guérite","GUE",
IF(F7="Cuisine","CUI","XXX"))))))))))) &amp; "/" &amp;
TEXT(E7,"000") &amp; "/" &amp; TEXT(G7,"0000")</f>
        <v>BEG/INF/ECR/CEO/001/2025</v>
      </c>
      <c r="J7" s="13"/>
    </row>
    <row r="8" spans="2:10" x14ac:dyDescent="0.35">
      <c r="B8" s="11">
        <v>2</v>
      </c>
      <c r="C8" s="7" t="s">
        <v>13</v>
      </c>
      <c r="D8" s="7" t="s">
        <v>68</v>
      </c>
      <c r="E8" s="18">
        <v>1</v>
      </c>
      <c r="F8" s="7" t="s">
        <v>38</v>
      </c>
      <c r="G8" s="16">
        <v>2015</v>
      </c>
      <c r="H8" s="7" t="s">
        <v>29</v>
      </c>
      <c r="I8" s="7" t="str">
        <f t="shared" ref="I8:I70" si="0">"BEG/" &amp;
IF(C8="Mobilier","MOB",
IF(C8="Informatique et bureautique","INF",
IF(C8="Electroménagers","MEN",
IF(C8="Protection","PRO","XXX")))) &amp; "/" &amp;
UPPER(LEFT(D8,3)) &amp; "/" &amp;
IF(F8="Salle de formation","SFO",
IF(F8="Magasin","MAG",
IF(F8="Bureau du CEO","CEO",
IF(F8="Bureau du COO","COO",
IF(F8="Bureau des consultants","CON",
IF(F8="Bureau du CFO et EA","ADM",
IF(F8="Bureau DEV et Commercial","DEC",
IF(F8="Sécrétariat","SEC",
IF(F8="Couloir","COU",
IF(F8="Guérite","GUE",
IF(F8="Cuisine","CUI","XXX"))))))))))) &amp; "/" &amp;
TEXT(E8,"000") &amp; "/" &amp; TEXT(G8,"0000")</f>
        <v>BEG/INF/ORD/COO/001/2015</v>
      </c>
      <c r="J8" s="13"/>
    </row>
    <row r="9" spans="2:10" x14ac:dyDescent="0.35">
      <c r="B9" s="11">
        <v>3</v>
      </c>
      <c r="C9" s="7"/>
      <c r="D9" s="7" t="s">
        <v>69</v>
      </c>
      <c r="E9" s="18"/>
      <c r="F9" s="7"/>
      <c r="G9" s="16"/>
      <c r="H9" s="7"/>
      <c r="I9" s="7" t="str">
        <f t="shared" si="0"/>
        <v>BEG/XXX/BIC/XXX/000/0000</v>
      </c>
      <c r="J9" s="13"/>
    </row>
    <row r="10" spans="2:10" x14ac:dyDescent="0.35">
      <c r="B10" s="11">
        <v>4</v>
      </c>
      <c r="C10" s="7"/>
      <c r="D10" s="7"/>
      <c r="E10" s="18"/>
      <c r="F10" s="7"/>
      <c r="G10" s="16"/>
      <c r="H10" s="7"/>
      <c r="I10" s="7" t="str">
        <f t="shared" si="0"/>
        <v>BEG/XXX//XXX/000/0000</v>
      </c>
      <c r="J10" s="13"/>
    </row>
    <row r="11" spans="2:10" x14ac:dyDescent="0.35">
      <c r="B11" s="11">
        <v>5</v>
      </c>
      <c r="C11" s="7"/>
      <c r="D11" s="7"/>
      <c r="E11" s="18"/>
      <c r="F11" s="7"/>
      <c r="G11" s="16"/>
      <c r="H11" s="7"/>
      <c r="I11" s="7" t="str">
        <f t="shared" si="0"/>
        <v>BEG/XXX//XXX/000/0000</v>
      </c>
      <c r="J11" s="13"/>
    </row>
    <row r="12" spans="2:10" x14ac:dyDescent="0.35">
      <c r="B12" s="11">
        <v>6</v>
      </c>
      <c r="C12" s="7"/>
      <c r="D12" s="7"/>
      <c r="E12" s="18"/>
      <c r="F12" s="7"/>
      <c r="G12" s="16"/>
      <c r="H12" s="7"/>
      <c r="I12" s="7" t="str">
        <f t="shared" si="0"/>
        <v>BEG/XXX//XXX/000/0000</v>
      </c>
      <c r="J12" s="13"/>
    </row>
    <row r="13" spans="2:10" x14ac:dyDescent="0.35">
      <c r="B13" s="11">
        <v>7</v>
      </c>
      <c r="C13" s="7"/>
      <c r="D13" s="7"/>
      <c r="E13" s="18"/>
      <c r="F13" s="7"/>
      <c r="G13" s="16"/>
      <c r="H13" s="7"/>
      <c r="I13" s="7" t="str">
        <f t="shared" si="0"/>
        <v>BEG/XXX//XXX/000/0000</v>
      </c>
      <c r="J13" s="13"/>
    </row>
    <row r="14" spans="2:10" x14ac:dyDescent="0.35">
      <c r="B14" s="11">
        <v>8</v>
      </c>
      <c r="C14" s="7"/>
      <c r="D14" s="7"/>
      <c r="E14" s="18"/>
      <c r="F14" s="7"/>
      <c r="G14" s="16"/>
      <c r="H14" s="7"/>
      <c r="I14" s="7" t="str">
        <f t="shared" si="0"/>
        <v>BEG/XXX//XXX/000/0000</v>
      </c>
      <c r="J14" s="13"/>
    </row>
    <row r="15" spans="2:10" x14ac:dyDescent="0.35">
      <c r="B15" s="11">
        <v>9</v>
      </c>
      <c r="C15" s="7"/>
      <c r="D15" s="7"/>
      <c r="E15" s="18"/>
      <c r="F15" s="7"/>
      <c r="G15" s="16"/>
      <c r="H15" s="7"/>
      <c r="I15" s="7" t="str">
        <f t="shared" si="0"/>
        <v>BEG/XXX//XXX/000/0000</v>
      </c>
      <c r="J15" s="13"/>
    </row>
    <row r="16" spans="2:10" x14ac:dyDescent="0.35">
      <c r="B16" s="11">
        <v>10</v>
      </c>
      <c r="C16" s="7"/>
      <c r="D16" s="7"/>
      <c r="E16" s="18"/>
      <c r="F16" s="7"/>
      <c r="G16" s="16"/>
      <c r="H16" s="7"/>
      <c r="I16" s="7" t="str">
        <f t="shared" si="0"/>
        <v>BEG/XXX//XXX/000/0000</v>
      </c>
      <c r="J16" s="13"/>
    </row>
    <row r="17" spans="2:10" x14ac:dyDescent="0.35">
      <c r="B17" s="11">
        <v>11</v>
      </c>
      <c r="C17" s="7"/>
      <c r="D17" s="7"/>
      <c r="E17" s="18"/>
      <c r="F17" s="7"/>
      <c r="G17" s="16"/>
      <c r="H17" s="7"/>
      <c r="I17" s="7" t="str">
        <f t="shared" si="0"/>
        <v>BEG/XXX//XXX/000/0000</v>
      </c>
      <c r="J17" s="13"/>
    </row>
    <row r="18" spans="2:10" x14ac:dyDescent="0.35">
      <c r="B18" s="11">
        <v>12</v>
      </c>
      <c r="C18" s="7"/>
      <c r="D18" s="7"/>
      <c r="E18" s="18"/>
      <c r="F18" s="7"/>
      <c r="G18" s="16"/>
      <c r="H18" s="7"/>
      <c r="I18" s="7" t="str">
        <f t="shared" si="0"/>
        <v>BEG/XXX//XXX/000/0000</v>
      </c>
      <c r="J18" s="13"/>
    </row>
    <row r="19" spans="2:10" x14ac:dyDescent="0.35">
      <c r="B19" s="11">
        <v>13</v>
      </c>
      <c r="C19" s="7"/>
      <c r="D19" s="7"/>
      <c r="E19" s="18"/>
      <c r="F19" s="7"/>
      <c r="G19" s="16"/>
      <c r="H19" s="7"/>
      <c r="I19" s="7" t="str">
        <f t="shared" si="0"/>
        <v>BEG/XXX//XXX/000/0000</v>
      </c>
      <c r="J19" s="13"/>
    </row>
    <row r="20" spans="2:10" x14ac:dyDescent="0.35">
      <c r="B20" s="11">
        <v>14</v>
      </c>
      <c r="C20" s="7"/>
      <c r="D20" s="7"/>
      <c r="E20" s="18"/>
      <c r="F20" s="7"/>
      <c r="G20" s="16"/>
      <c r="H20" s="7"/>
      <c r="I20" s="7" t="str">
        <f t="shared" si="0"/>
        <v>BEG/XXX//XXX/000/0000</v>
      </c>
      <c r="J20" s="13"/>
    </row>
    <row r="21" spans="2:10" x14ac:dyDescent="0.35">
      <c r="B21" s="11">
        <v>15</v>
      </c>
      <c r="C21" s="7"/>
      <c r="D21" s="7"/>
      <c r="E21" s="18"/>
      <c r="F21" s="7"/>
      <c r="G21" s="16"/>
      <c r="H21" s="7"/>
      <c r="I21" s="7" t="str">
        <f t="shared" si="0"/>
        <v>BEG/XXX//XXX/000/0000</v>
      </c>
      <c r="J21" s="13"/>
    </row>
    <row r="22" spans="2:10" x14ac:dyDescent="0.35">
      <c r="B22" s="11">
        <v>16</v>
      </c>
      <c r="C22" s="7"/>
      <c r="D22" s="7"/>
      <c r="E22" s="18"/>
      <c r="F22" s="7"/>
      <c r="G22" s="16"/>
      <c r="H22" s="7"/>
      <c r="I22" s="7" t="str">
        <f t="shared" si="0"/>
        <v>BEG/XXX//XXX/000/0000</v>
      </c>
      <c r="J22" s="13"/>
    </row>
    <row r="23" spans="2:10" x14ac:dyDescent="0.35">
      <c r="B23" s="11">
        <v>17</v>
      </c>
      <c r="C23" s="7"/>
      <c r="D23" s="7"/>
      <c r="E23" s="18"/>
      <c r="F23" s="7"/>
      <c r="G23" s="16"/>
      <c r="H23" s="7"/>
      <c r="I23" s="7" t="str">
        <f t="shared" si="0"/>
        <v>BEG/XXX//XXX/000/0000</v>
      </c>
      <c r="J23" s="13"/>
    </row>
    <row r="24" spans="2:10" x14ac:dyDescent="0.35">
      <c r="B24" s="11">
        <v>18</v>
      </c>
      <c r="C24" s="7"/>
      <c r="D24" s="7"/>
      <c r="E24" s="18"/>
      <c r="F24" s="7"/>
      <c r="G24" s="16"/>
      <c r="H24" s="7"/>
      <c r="I24" s="7" t="str">
        <f t="shared" si="0"/>
        <v>BEG/XXX//XXX/000/0000</v>
      </c>
      <c r="J24" s="13"/>
    </row>
    <row r="25" spans="2:10" x14ac:dyDescent="0.35">
      <c r="B25" s="11">
        <v>19</v>
      </c>
      <c r="C25" s="7"/>
      <c r="D25" s="7"/>
      <c r="E25" s="18"/>
      <c r="F25" s="7"/>
      <c r="G25" s="16"/>
      <c r="H25" s="7"/>
      <c r="I25" s="7" t="str">
        <f t="shared" si="0"/>
        <v>BEG/XXX//XXX/000/0000</v>
      </c>
      <c r="J25" s="13"/>
    </row>
    <row r="26" spans="2:10" x14ac:dyDescent="0.35">
      <c r="B26" s="11">
        <v>20</v>
      </c>
      <c r="C26" s="7"/>
      <c r="D26" s="7"/>
      <c r="E26" s="18"/>
      <c r="F26" s="7"/>
      <c r="G26" s="16"/>
      <c r="H26" s="7"/>
      <c r="I26" s="7" t="str">
        <f t="shared" si="0"/>
        <v>BEG/XXX//XXX/000/0000</v>
      </c>
      <c r="J26" s="13"/>
    </row>
    <row r="27" spans="2:10" x14ac:dyDescent="0.35">
      <c r="B27" s="11">
        <v>21</v>
      </c>
      <c r="C27" s="7"/>
      <c r="D27" s="7"/>
      <c r="E27" s="18"/>
      <c r="F27" s="7"/>
      <c r="G27" s="16"/>
      <c r="H27" s="7"/>
      <c r="I27" s="7" t="str">
        <f t="shared" si="0"/>
        <v>BEG/XXX//XXX/000/0000</v>
      </c>
      <c r="J27" s="13"/>
    </row>
    <row r="28" spans="2:10" x14ac:dyDescent="0.35">
      <c r="B28" s="11">
        <v>22</v>
      </c>
      <c r="C28" s="7"/>
      <c r="D28" s="7"/>
      <c r="E28" s="18"/>
      <c r="F28" s="7"/>
      <c r="G28" s="16"/>
      <c r="H28" s="7"/>
      <c r="I28" s="7" t="str">
        <f t="shared" si="0"/>
        <v>BEG/XXX//XXX/000/0000</v>
      </c>
      <c r="J28" s="13"/>
    </row>
    <row r="29" spans="2:10" x14ac:dyDescent="0.35">
      <c r="B29" s="11">
        <v>23</v>
      </c>
      <c r="C29" s="7"/>
      <c r="D29" s="7"/>
      <c r="E29" s="18"/>
      <c r="F29" s="7"/>
      <c r="G29" s="16"/>
      <c r="H29" s="7"/>
      <c r="I29" s="7" t="str">
        <f t="shared" si="0"/>
        <v>BEG/XXX//XXX/000/0000</v>
      </c>
      <c r="J29" s="13"/>
    </row>
    <row r="30" spans="2:10" x14ac:dyDescent="0.35">
      <c r="B30" s="11">
        <v>24</v>
      </c>
      <c r="C30" s="7"/>
      <c r="D30" s="7"/>
      <c r="E30" s="18"/>
      <c r="F30" s="7"/>
      <c r="G30" s="16"/>
      <c r="H30" s="7"/>
      <c r="I30" s="7" t="str">
        <f t="shared" si="0"/>
        <v>BEG/XXX//XXX/000/0000</v>
      </c>
      <c r="J30" s="13"/>
    </row>
    <row r="31" spans="2:10" x14ac:dyDescent="0.35">
      <c r="B31" s="11">
        <v>25</v>
      </c>
      <c r="C31" s="7"/>
      <c r="D31" s="7"/>
      <c r="E31" s="18"/>
      <c r="F31" s="7"/>
      <c r="G31" s="16"/>
      <c r="H31" s="7"/>
      <c r="I31" s="7" t="str">
        <f t="shared" si="0"/>
        <v>BEG/XXX//XXX/000/0000</v>
      </c>
      <c r="J31" s="13"/>
    </row>
    <row r="32" spans="2:10" x14ac:dyDescent="0.35">
      <c r="B32" s="11">
        <v>26</v>
      </c>
      <c r="C32" s="7"/>
      <c r="D32" s="7"/>
      <c r="E32" s="18"/>
      <c r="F32" s="7"/>
      <c r="G32" s="16"/>
      <c r="H32" s="7"/>
      <c r="I32" s="7" t="str">
        <f t="shared" si="0"/>
        <v>BEG/XXX//XXX/000/0000</v>
      </c>
      <c r="J32" s="13"/>
    </row>
    <row r="33" spans="2:10" x14ac:dyDescent="0.35">
      <c r="B33" s="11">
        <v>27</v>
      </c>
      <c r="C33" s="7"/>
      <c r="D33" s="7"/>
      <c r="E33" s="18"/>
      <c r="F33" s="7"/>
      <c r="G33" s="16"/>
      <c r="H33" s="7"/>
      <c r="I33" s="7" t="str">
        <f t="shared" si="0"/>
        <v>BEG/XXX//XXX/000/0000</v>
      </c>
      <c r="J33" s="13"/>
    </row>
    <row r="34" spans="2:10" x14ac:dyDescent="0.35">
      <c r="B34" s="11">
        <v>28</v>
      </c>
      <c r="C34" s="7"/>
      <c r="D34" s="7"/>
      <c r="E34" s="18"/>
      <c r="F34" s="7"/>
      <c r="G34" s="16"/>
      <c r="H34" s="7"/>
      <c r="I34" s="7" t="str">
        <f t="shared" si="0"/>
        <v>BEG/XXX//XXX/000/0000</v>
      </c>
      <c r="J34" s="13"/>
    </row>
    <row r="35" spans="2:10" x14ac:dyDescent="0.35">
      <c r="B35" s="11">
        <v>29</v>
      </c>
      <c r="C35" s="7"/>
      <c r="D35" s="7"/>
      <c r="E35" s="18"/>
      <c r="F35" s="7"/>
      <c r="G35" s="16"/>
      <c r="H35" s="7"/>
      <c r="I35" s="7" t="str">
        <f t="shared" si="0"/>
        <v>BEG/XXX//XXX/000/0000</v>
      </c>
      <c r="J35" s="13"/>
    </row>
    <row r="36" spans="2:10" x14ac:dyDescent="0.35">
      <c r="B36" s="11">
        <v>30</v>
      </c>
      <c r="C36" s="7"/>
      <c r="D36" s="7"/>
      <c r="E36" s="18"/>
      <c r="F36" s="7"/>
      <c r="G36" s="16"/>
      <c r="H36" s="7"/>
      <c r="I36" s="7" t="str">
        <f t="shared" si="0"/>
        <v>BEG/XXX//XXX/000/0000</v>
      </c>
      <c r="J36" s="13"/>
    </row>
    <row r="37" spans="2:10" x14ac:dyDescent="0.35">
      <c r="B37" s="11">
        <v>31</v>
      </c>
      <c r="C37" s="7"/>
      <c r="D37" s="7"/>
      <c r="E37" s="18"/>
      <c r="F37" s="7"/>
      <c r="G37" s="16"/>
      <c r="H37" s="7"/>
      <c r="I37" s="7" t="str">
        <f t="shared" si="0"/>
        <v>BEG/XXX//XXX/000/0000</v>
      </c>
      <c r="J37" s="13"/>
    </row>
    <row r="38" spans="2:10" x14ac:dyDescent="0.35">
      <c r="B38" s="11">
        <v>32</v>
      </c>
      <c r="C38" s="7"/>
      <c r="D38" s="7"/>
      <c r="E38" s="18"/>
      <c r="F38" s="7"/>
      <c r="G38" s="16"/>
      <c r="H38" s="7"/>
      <c r="I38" s="7" t="str">
        <f t="shared" si="0"/>
        <v>BEG/XXX//XXX/000/0000</v>
      </c>
      <c r="J38" s="13"/>
    </row>
    <row r="39" spans="2:10" x14ac:dyDescent="0.35">
      <c r="B39" s="11">
        <v>33</v>
      </c>
      <c r="C39" s="7"/>
      <c r="D39" s="7"/>
      <c r="E39" s="18"/>
      <c r="F39" s="7"/>
      <c r="G39" s="16"/>
      <c r="H39" s="7"/>
      <c r="I39" s="7" t="str">
        <f t="shared" si="0"/>
        <v>BEG/XXX//XXX/000/0000</v>
      </c>
      <c r="J39" s="13"/>
    </row>
    <row r="40" spans="2:10" x14ac:dyDescent="0.35">
      <c r="B40" s="11">
        <v>34</v>
      </c>
      <c r="C40" s="7"/>
      <c r="D40" s="7"/>
      <c r="E40" s="18"/>
      <c r="F40" s="7"/>
      <c r="G40" s="16"/>
      <c r="H40" s="7"/>
      <c r="I40" s="7" t="str">
        <f t="shared" si="0"/>
        <v>BEG/XXX//XXX/000/0000</v>
      </c>
      <c r="J40" s="13"/>
    </row>
    <row r="41" spans="2:10" x14ac:dyDescent="0.35">
      <c r="B41" s="11">
        <v>35</v>
      </c>
      <c r="C41" s="7"/>
      <c r="D41" s="7"/>
      <c r="E41" s="18"/>
      <c r="F41" s="7"/>
      <c r="G41" s="16"/>
      <c r="H41" s="7"/>
      <c r="I41" s="7" t="str">
        <f t="shared" si="0"/>
        <v>BEG/XXX//XXX/000/0000</v>
      </c>
      <c r="J41" s="13"/>
    </row>
    <row r="42" spans="2:10" x14ac:dyDescent="0.35">
      <c r="B42" s="11">
        <v>36</v>
      </c>
      <c r="C42" s="7"/>
      <c r="D42" s="7"/>
      <c r="E42" s="18"/>
      <c r="F42" s="7"/>
      <c r="G42" s="16"/>
      <c r="H42" s="7"/>
      <c r="I42" s="7" t="str">
        <f t="shared" si="0"/>
        <v>BEG/XXX//XXX/000/0000</v>
      </c>
      <c r="J42" s="13"/>
    </row>
    <row r="43" spans="2:10" x14ac:dyDescent="0.35">
      <c r="B43" s="11">
        <v>37</v>
      </c>
      <c r="C43" s="7"/>
      <c r="D43" s="7"/>
      <c r="E43" s="18"/>
      <c r="F43" s="7"/>
      <c r="G43" s="16"/>
      <c r="H43" s="7"/>
      <c r="I43" s="7" t="str">
        <f t="shared" si="0"/>
        <v>BEG/XXX//XXX/000/0000</v>
      </c>
      <c r="J43" s="13"/>
    </row>
    <row r="44" spans="2:10" x14ac:dyDescent="0.35">
      <c r="B44" s="11">
        <v>38</v>
      </c>
      <c r="C44" s="7"/>
      <c r="D44" s="7"/>
      <c r="E44" s="18"/>
      <c r="F44" s="7"/>
      <c r="G44" s="16"/>
      <c r="H44" s="7"/>
      <c r="I44" s="7" t="str">
        <f t="shared" si="0"/>
        <v>BEG/XXX//XXX/000/0000</v>
      </c>
      <c r="J44" s="13"/>
    </row>
    <row r="45" spans="2:10" x14ac:dyDescent="0.35">
      <c r="B45" s="11">
        <v>39</v>
      </c>
      <c r="C45" s="7"/>
      <c r="D45" s="7"/>
      <c r="E45" s="18"/>
      <c r="F45" s="7"/>
      <c r="G45" s="16"/>
      <c r="H45" s="7"/>
      <c r="I45" s="7" t="str">
        <f t="shared" si="0"/>
        <v>BEG/XXX//XXX/000/0000</v>
      </c>
      <c r="J45" s="13"/>
    </row>
    <row r="46" spans="2:10" x14ac:dyDescent="0.35">
      <c r="B46" s="11">
        <v>40</v>
      </c>
      <c r="C46" s="7"/>
      <c r="D46" s="7"/>
      <c r="E46" s="18"/>
      <c r="F46" s="7"/>
      <c r="G46" s="16"/>
      <c r="H46" s="7"/>
      <c r="I46" s="7" t="str">
        <f t="shared" si="0"/>
        <v>BEG/XXX//XXX/000/0000</v>
      </c>
      <c r="J46" s="13"/>
    </row>
    <row r="47" spans="2:10" x14ac:dyDescent="0.35">
      <c r="B47" s="11">
        <v>41</v>
      </c>
      <c r="C47" s="7"/>
      <c r="D47" s="7"/>
      <c r="E47" s="18"/>
      <c r="F47" s="7"/>
      <c r="G47" s="16"/>
      <c r="H47" s="7"/>
      <c r="I47" s="7" t="str">
        <f t="shared" si="0"/>
        <v>BEG/XXX//XXX/000/0000</v>
      </c>
      <c r="J47" s="13"/>
    </row>
    <row r="48" spans="2:10" x14ac:dyDescent="0.35">
      <c r="B48" s="11">
        <v>42</v>
      </c>
      <c r="C48" s="7"/>
      <c r="D48" s="7"/>
      <c r="E48" s="18"/>
      <c r="F48" s="7"/>
      <c r="G48" s="16"/>
      <c r="H48" s="7"/>
      <c r="I48" s="7" t="str">
        <f t="shared" si="0"/>
        <v>BEG/XXX//XXX/000/0000</v>
      </c>
      <c r="J48" s="13"/>
    </row>
    <row r="49" spans="2:10" x14ac:dyDescent="0.35">
      <c r="B49" s="11">
        <v>43</v>
      </c>
      <c r="C49" s="7"/>
      <c r="D49" s="7"/>
      <c r="E49" s="18"/>
      <c r="F49" s="7"/>
      <c r="G49" s="16"/>
      <c r="H49" s="7"/>
      <c r="I49" s="7" t="str">
        <f t="shared" si="0"/>
        <v>BEG/XXX//XXX/000/0000</v>
      </c>
      <c r="J49" s="13"/>
    </row>
    <row r="50" spans="2:10" x14ac:dyDescent="0.35">
      <c r="B50" s="11">
        <v>44</v>
      </c>
      <c r="C50" s="7"/>
      <c r="D50" s="7"/>
      <c r="E50" s="18"/>
      <c r="F50" s="7"/>
      <c r="G50" s="16"/>
      <c r="H50" s="7"/>
      <c r="I50" s="7" t="str">
        <f t="shared" si="0"/>
        <v>BEG/XXX//XXX/000/0000</v>
      </c>
      <c r="J50" s="13"/>
    </row>
    <row r="51" spans="2:10" x14ac:dyDescent="0.35">
      <c r="B51" s="11">
        <v>45</v>
      </c>
      <c r="C51" s="7"/>
      <c r="D51" s="7"/>
      <c r="E51" s="18"/>
      <c r="F51" s="7"/>
      <c r="G51" s="16"/>
      <c r="H51" s="7"/>
      <c r="I51" s="7" t="str">
        <f t="shared" si="0"/>
        <v>BEG/XXX//XXX/000/0000</v>
      </c>
      <c r="J51" s="13"/>
    </row>
    <row r="52" spans="2:10" x14ac:dyDescent="0.35">
      <c r="B52" s="11">
        <v>46</v>
      </c>
      <c r="C52" s="7"/>
      <c r="D52" s="7"/>
      <c r="E52" s="18"/>
      <c r="F52" s="7"/>
      <c r="G52" s="16"/>
      <c r="H52" s="7"/>
      <c r="I52" s="7" t="str">
        <f t="shared" si="0"/>
        <v>BEG/XXX//XXX/000/0000</v>
      </c>
      <c r="J52" s="13"/>
    </row>
    <row r="53" spans="2:10" x14ac:dyDescent="0.35">
      <c r="B53" s="11">
        <v>47</v>
      </c>
      <c r="C53" s="7"/>
      <c r="D53" s="7"/>
      <c r="E53" s="18"/>
      <c r="F53" s="7"/>
      <c r="G53" s="16"/>
      <c r="H53" s="7"/>
      <c r="I53" s="7" t="str">
        <f t="shared" si="0"/>
        <v>BEG/XXX//XXX/000/0000</v>
      </c>
      <c r="J53" s="13"/>
    </row>
    <row r="54" spans="2:10" x14ac:dyDescent="0.35">
      <c r="B54" s="11">
        <v>48</v>
      </c>
      <c r="C54" s="7"/>
      <c r="D54" s="7"/>
      <c r="E54" s="18"/>
      <c r="F54" s="7"/>
      <c r="G54" s="16"/>
      <c r="H54" s="7"/>
      <c r="I54" s="7" t="str">
        <f t="shared" si="0"/>
        <v>BEG/XXX//XXX/000/0000</v>
      </c>
      <c r="J54" s="13"/>
    </row>
    <row r="55" spans="2:10" x14ac:dyDescent="0.35">
      <c r="B55" s="11">
        <v>49</v>
      </c>
      <c r="C55" s="7"/>
      <c r="D55" s="7"/>
      <c r="E55" s="18"/>
      <c r="F55" s="7"/>
      <c r="G55" s="16"/>
      <c r="H55" s="7"/>
      <c r="I55" s="7" t="str">
        <f t="shared" si="0"/>
        <v>BEG/XXX//XXX/000/0000</v>
      </c>
      <c r="J55" s="13"/>
    </row>
    <row r="56" spans="2:10" x14ac:dyDescent="0.35">
      <c r="B56" s="11">
        <v>50</v>
      </c>
      <c r="C56" s="7"/>
      <c r="D56" s="7"/>
      <c r="E56" s="18"/>
      <c r="F56" s="7"/>
      <c r="G56" s="16"/>
      <c r="H56" s="7"/>
      <c r="I56" s="7" t="str">
        <f t="shared" si="0"/>
        <v>BEG/XXX//XXX/000/0000</v>
      </c>
      <c r="J56" s="13"/>
    </row>
    <row r="57" spans="2:10" x14ac:dyDescent="0.35">
      <c r="B57" s="11">
        <v>51</v>
      </c>
      <c r="C57" s="7"/>
      <c r="D57" s="7"/>
      <c r="E57" s="18"/>
      <c r="F57" s="7"/>
      <c r="G57" s="16"/>
      <c r="H57" s="7"/>
      <c r="I57" s="7" t="str">
        <f t="shared" si="0"/>
        <v>BEG/XXX//XXX/000/0000</v>
      </c>
      <c r="J57" s="13"/>
    </row>
    <row r="58" spans="2:10" x14ac:dyDescent="0.35">
      <c r="B58" s="11">
        <v>52</v>
      </c>
      <c r="C58" s="7"/>
      <c r="D58" s="7"/>
      <c r="E58" s="18"/>
      <c r="F58" s="7"/>
      <c r="G58" s="16"/>
      <c r="H58" s="7"/>
      <c r="I58" s="7" t="str">
        <f t="shared" si="0"/>
        <v>BEG/XXX//XXX/000/0000</v>
      </c>
      <c r="J58" s="13"/>
    </row>
    <row r="59" spans="2:10" x14ac:dyDescent="0.35">
      <c r="B59" s="11">
        <v>53</v>
      </c>
      <c r="C59" s="7"/>
      <c r="D59" s="7"/>
      <c r="E59" s="18"/>
      <c r="F59" s="7"/>
      <c r="G59" s="16"/>
      <c r="H59" s="7"/>
      <c r="I59" s="7" t="str">
        <f t="shared" si="0"/>
        <v>BEG/XXX//XXX/000/0000</v>
      </c>
      <c r="J59" s="13"/>
    </row>
    <row r="60" spans="2:10" x14ac:dyDescent="0.35">
      <c r="B60" s="11">
        <v>54</v>
      </c>
      <c r="C60" s="7"/>
      <c r="D60" s="7"/>
      <c r="E60" s="18"/>
      <c r="F60" s="7"/>
      <c r="G60" s="16"/>
      <c r="H60" s="7"/>
      <c r="I60" s="7" t="str">
        <f t="shared" si="0"/>
        <v>BEG/XXX//XXX/000/0000</v>
      </c>
      <c r="J60" s="13"/>
    </row>
    <row r="61" spans="2:10" x14ac:dyDescent="0.35">
      <c r="B61" s="11">
        <v>55</v>
      </c>
      <c r="C61" s="7"/>
      <c r="D61" s="7"/>
      <c r="E61" s="18"/>
      <c r="F61" s="7"/>
      <c r="G61" s="16"/>
      <c r="H61" s="7"/>
      <c r="I61" s="7" t="str">
        <f t="shared" si="0"/>
        <v>BEG/XXX//XXX/000/0000</v>
      </c>
      <c r="J61" s="13"/>
    </row>
    <row r="62" spans="2:10" x14ac:dyDescent="0.35">
      <c r="B62" s="11">
        <v>56</v>
      </c>
      <c r="C62" s="7"/>
      <c r="D62" s="7"/>
      <c r="E62" s="18"/>
      <c r="F62" s="7"/>
      <c r="G62" s="16"/>
      <c r="H62" s="7"/>
      <c r="I62" s="7" t="str">
        <f t="shared" si="0"/>
        <v>BEG/XXX//XXX/000/0000</v>
      </c>
      <c r="J62" s="13"/>
    </row>
    <row r="63" spans="2:10" x14ac:dyDescent="0.35">
      <c r="B63" s="11">
        <v>57</v>
      </c>
      <c r="C63" s="7"/>
      <c r="D63" s="7"/>
      <c r="E63" s="18"/>
      <c r="F63" s="7"/>
      <c r="G63" s="16"/>
      <c r="H63" s="7"/>
      <c r="I63" s="7" t="str">
        <f t="shared" si="0"/>
        <v>BEG/XXX//XXX/000/0000</v>
      </c>
      <c r="J63" s="13"/>
    </row>
    <row r="64" spans="2:10" x14ac:dyDescent="0.35">
      <c r="B64" s="11">
        <v>58</v>
      </c>
      <c r="C64" s="7"/>
      <c r="D64" s="7"/>
      <c r="E64" s="18"/>
      <c r="F64" s="7"/>
      <c r="G64" s="16"/>
      <c r="H64" s="7"/>
      <c r="I64" s="7" t="str">
        <f t="shared" si="0"/>
        <v>BEG/XXX//XXX/000/0000</v>
      </c>
      <c r="J64" s="13"/>
    </row>
    <row r="65" spans="2:10" x14ac:dyDescent="0.35">
      <c r="B65" s="11">
        <v>59</v>
      </c>
      <c r="C65" s="7"/>
      <c r="D65" s="7"/>
      <c r="E65" s="18"/>
      <c r="F65" s="7"/>
      <c r="G65" s="16"/>
      <c r="H65" s="7"/>
      <c r="I65" s="7" t="str">
        <f t="shared" si="0"/>
        <v>BEG/XXX//XXX/000/0000</v>
      </c>
      <c r="J65" s="13"/>
    </row>
    <row r="66" spans="2:10" x14ac:dyDescent="0.35">
      <c r="B66" s="11">
        <v>60</v>
      </c>
      <c r="C66" s="7"/>
      <c r="D66" s="7"/>
      <c r="E66" s="18"/>
      <c r="F66" s="7"/>
      <c r="G66" s="16"/>
      <c r="H66" s="7"/>
      <c r="I66" s="7" t="str">
        <f t="shared" si="0"/>
        <v>BEG/XXX//XXX/000/0000</v>
      </c>
      <c r="J66" s="13"/>
    </row>
    <row r="67" spans="2:10" x14ac:dyDescent="0.35">
      <c r="B67" s="11">
        <v>61</v>
      </c>
      <c r="C67" s="7"/>
      <c r="D67" s="7"/>
      <c r="E67" s="18"/>
      <c r="F67" s="7"/>
      <c r="G67" s="16"/>
      <c r="H67" s="7"/>
      <c r="I67" s="7" t="str">
        <f t="shared" si="0"/>
        <v>BEG/XXX//XXX/000/0000</v>
      </c>
      <c r="J67" s="13"/>
    </row>
    <row r="68" spans="2:10" x14ac:dyDescent="0.35">
      <c r="B68" s="11">
        <v>62</v>
      </c>
      <c r="C68" s="7"/>
      <c r="D68" s="7"/>
      <c r="E68" s="18"/>
      <c r="F68" s="7"/>
      <c r="G68" s="16"/>
      <c r="H68" s="7"/>
      <c r="I68" s="7" t="str">
        <f t="shared" si="0"/>
        <v>BEG/XXX//XXX/000/0000</v>
      </c>
      <c r="J68" s="13"/>
    </row>
    <row r="69" spans="2:10" x14ac:dyDescent="0.35">
      <c r="B69" s="11">
        <v>63</v>
      </c>
      <c r="C69" s="7"/>
      <c r="D69" s="7"/>
      <c r="E69" s="18"/>
      <c r="F69" s="7"/>
      <c r="G69" s="16"/>
      <c r="H69" s="7"/>
      <c r="I69" s="7" t="str">
        <f t="shared" si="0"/>
        <v>BEG/XXX//XXX/000/0000</v>
      </c>
      <c r="J69" s="13"/>
    </row>
    <row r="70" spans="2:10" x14ac:dyDescent="0.35">
      <c r="B70" s="11">
        <v>64</v>
      </c>
      <c r="C70" s="7"/>
      <c r="D70" s="7"/>
      <c r="E70" s="18"/>
      <c r="F70" s="7"/>
      <c r="G70" s="16"/>
      <c r="H70" s="7"/>
      <c r="I70" s="7" t="str">
        <f t="shared" si="0"/>
        <v>BEG/XXX//XXX/000/0000</v>
      </c>
      <c r="J70" s="13"/>
    </row>
    <row r="71" spans="2:10" x14ac:dyDescent="0.35">
      <c r="B71" s="11">
        <v>65</v>
      </c>
      <c r="C71" s="7"/>
      <c r="D71" s="7"/>
      <c r="E71" s="18"/>
      <c r="F71" s="7"/>
      <c r="G71" s="16"/>
      <c r="H71" s="7"/>
      <c r="I71" s="7" t="str">
        <f t="shared" ref="I71:I126" si="1">"BEG/" &amp;
IF(C71="Mobilier","MOB",
IF(C71="Informatique et bureautique","INF",
IF(C71="Electroménagers","MEN",
IF(C71="Protection","PRO","XXX")))) &amp; "/" &amp;
UPPER(LEFT(D71,3)) &amp; "/" &amp;
IF(F71="Salle de formation","SFO",
IF(F71="Magasin","MAG",
IF(F71="Bureau du CEO","CEO",
IF(F71="Bureau du COO","COO",
IF(F71="Bureau des consultants","CON",
IF(F71="Bureau du CFO et EA","ADM",
IF(F71="Bureau DEV et Commercial","DEC",
IF(F71="Sécrétariat","SEC",
IF(F71="Couloir","COU",
IF(F71="Guérite","GUE",
IF(F71="Cuisine","CUI","XXX"))))))))))) &amp; "/" &amp;
TEXT(E71,"000") &amp; "/" &amp; TEXT(G71,"0000")</f>
        <v>BEG/XXX//XXX/000/0000</v>
      </c>
      <c r="J71" s="13"/>
    </row>
    <row r="72" spans="2:10" x14ac:dyDescent="0.35">
      <c r="B72" s="11">
        <v>66</v>
      </c>
      <c r="C72" s="7"/>
      <c r="D72" s="7"/>
      <c r="E72" s="18"/>
      <c r="F72" s="7"/>
      <c r="G72" s="16"/>
      <c r="H72" s="7"/>
      <c r="I72" s="7" t="str">
        <f t="shared" si="1"/>
        <v>BEG/XXX//XXX/000/0000</v>
      </c>
      <c r="J72" s="13"/>
    </row>
    <row r="73" spans="2:10" x14ac:dyDescent="0.35">
      <c r="B73" s="11">
        <v>67</v>
      </c>
      <c r="C73" s="7"/>
      <c r="D73" s="7"/>
      <c r="E73" s="18"/>
      <c r="F73" s="7"/>
      <c r="G73" s="16"/>
      <c r="H73" s="7"/>
      <c r="I73" s="7" t="str">
        <f t="shared" si="1"/>
        <v>BEG/XXX//XXX/000/0000</v>
      </c>
      <c r="J73" s="13"/>
    </row>
    <row r="74" spans="2:10" x14ac:dyDescent="0.35">
      <c r="B74" s="11">
        <v>68</v>
      </c>
      <c r="C74" s="7"/>
      <c r="D74" s="7"/>
      <c r="E74" s="18"/>
      <c r="F74" s="7"/>
      <c r="G74" s="16"/>
      <c r="H74" s="7"/>
      <c r="I74" s="7" t="str">
        <f t="shared" si="1"/>
        <v>BEG/XXX//XXX/000/0000</v>
      </c>
      <c r="J74" s="13"/>
    </row>
    <row r="75" spans="2:10" x14ac:dyDescent="0.35">
      <c r="B75" s="11">
        <v>69</v>
      </c>
      <c r="C75" s="7"/>
      <c r="D75" s="7"/>
      <c r="E75" s="18"/>
      <c r="F75" s="7"/>
      <c r="G75" s="16"/>
      <c r="H75" s="7"/>
      <c r="I75" s="7" t="str">
        <f t="shared" si="1"/>
        <v>BEG/XXX//XXX/000/0000</v>
      </c>
      <c r="J75" s="13"/>
    </row>
    <row r="76" spans="2:10" x14ac:dyDescent="0.35">
      <c r="B76" s="11">
        <v>70</v>
      </c>
      <c r="C76" s="7"/>
      <c r="D76" s="7"/>
      <c r="E76" s="18"/>
      <c r="F76" s="7"/>
      <c r="G76" s="16"/>
      <c r="H76" s="7"/>
      <c r="I76" s="7" t="str">
        <f t="shared" si="1"/>
        <v>BEG/XXX//XXX/000/0000</v>
      </c>
      <c r="J76" s="13"/>
    </row>
    <row r="77" spans="2:10" x14ac:dyDescent="0.35">
      <c r="B77" s="11">
        <v>71</v>
      </c>
      <c r="C77" s="7"/>
      <c r="D77" s="7"/>
      <c r="E77" s="18"/>
      <c r="F77" s="7"/>
      <c r="G77" s="16"/>
      <c r="H77" s="7"/>
      <c r="I77" s="7" t="str">
        <f t="shared" si="1"/>
        <v>BEG/XXX//XXX/000/0000</v>
      </c>
      <c r="J77" s="13"/>
    </row>
    <row r="78" spans="2:10" x14ac:dyDescent="0.35">
      <c r="B78" s="11">
        <v>72</v>
      </c>
      <c r="C78" s="7"/>
      <c r="D78" s="7"/>
      <c r="E78" s="18"/>
      <c r="F78" s="7"/>
      <c r="G78" s="16"/>
      <c r="H78" s="7"/>
      <c r="I78" s="7" t="str">
        <f t="shared" si="1"/>
        <v>BEG/XXX//XXX/000/0000</v>
      </c>
      <c r="J78" s="13"/>
    </row>
    <row r="79" spans="2:10" x14ac:dyDescent="0.35">
      <c r="B79" s="11">
        <v>73</v>
      </c>
      <c r="C79" s="7"/>
      <c r="D79" s="7"/>
      <c r="E79" s="18"/>
      <c r="F79" s="7"/>
      <c r="G79" s="16"/>
      <c r="H79" s="7"/>
      <c r="I79" s="7" t="str">
        <f t="shared" si="1"/>
        <v>BEG/XXX//XXX/000/0000</v>
      </c>
      <c r="J79" s="13"/>
    </row>
    <row r="80" spans="2:10" x14ac:dyDescent="0.35">
      <c r="B80" s="11">
        <v>74</v>
      </c>
      <c r="C80" s="7"/>
      <c r="D80" s="7"/>
      <c r="E80" s="18"/>
      <c r="F80" s="7"/>
      <c r="G80" s="16"/>
      <c r="H80" s="7"/>
      <c r="I80" s="7" t="str">
        <f t="shared" si="1"/>
        <v>BEG/XXX//XXX/000/0000</v>
      </c>
      <c r="J80" s="13"/>
    </row>
    <row r="81" spans="2:10" x14ac:dyDescent="0.35">
      <c r="B81" s="11">
        <v>75</v>
      </c>
      <c r="C81" s="7"/>
      <c r="D81" s="7"/>
      <c r="E81" s="18"/>
      <c r="F81" s="7"/>
      <c r="G81" s="16"/>
      <c r="H81" s="7"/>
      <c r="I81" s="7" t="str">
        <f t="shared" si="1"/>
        <v>BEG/XXX//XXX/000/0000</v>
      </c>
      <c r="J81" s="13"/>
    </row>
    <row r="82" spans="2:10" x14ac:dyDescent="0.35">
      <c r="B82" s="11">
        <v>76</v>
      </c>
      <c r="C82" s="7"/>
      <c r="D82" s="7"/>
      <c r="E82" s="18"/>
      <c r="F82" s="7"/>
      <c r="G82" s="16"/>
      <c r="H82" s="7"/>
      <c r="I82" s="7" t="str">
        <f t="shared" si="1"/>
        <v>BEG/XXX//XXX/000/0000</v>
      </c>
      <c r="J82" s="13"/>
    </row>
    <row r="83" spans="2:10" x14ac:dyDescent="0.35">
      <c r="B83" s="11">
        <v>77</v>
      </c>
      <c r="C83" s="7"/>
      <c r="D83" s="7"/>
      <c r="E83" s="18"/>
      <c r="F83" s="7"/>
      <c r="G83" s="16"/>
      <c r="H83" s="7"/>
      <c r="I83" s="7" t="str">
        <f t="shared" si="1"/>
        <v>BEG/XXX//XXX/000/0000</v>
      </c>
      <c r="J83" s="13"/>
    </row>
    <row r="84" spans="2:10" x14ac:dyDescent="0.35">
      <c r="B84" s="11">
        <v>78</v>
      </c>
      <c r="C84" s="7"/>
      <c r="D84" s="7"/>
      <c r="E84" s="18"/>
      <c r="F84" s="7"/>
      <c r="G84" s="16"/>
      <c r="H84" s="7"/>
      <c r="I84" s="7" t="str">
        <f t="shared" si="1"/>
        <v>BEG/XXX//XXX/000/0000</v>
      </c>
      <c r="J84" s="13"/>
    </row>
    <row r="85" spans="2:10" x14ac:dyDescent="0.35">
      <c r="B85" s="11">
        <v>79</v>
      </c>
      <c r="C85" s="7"/>
      <c r="D85" s="7"/>
      <c r="E85" s="18"/>
      <c r="F85" s="7"/>
      <c r="G85" s="16"/>
      <c r="H85" s="7"/>
      <c r="I85" s="7" t="str">
        <f t="shared" si="1"/>
        <v>BEG/XXX//XXX/000/0000</v>
      </c>
      <c r="J85" s="13"/>
    </row>
    <row r="86" spans="2:10" x14ac:dyDescent="0.35">
      <c r="B86" s="11">
        <v>80</v>
      </c>
      <c r="C86" s="7"/>
      <c r="D86" s="7"/>
      <c r="E86" s="18"/>
      <c r="F86" s="7"/>
      <c r="G86" s="16"/>
      <c r="H86" s="7"/>
      <c r="I86" s="7" t="str">
        <f t="shared" si="1"/>
        <v>BEG/XXX//XXX/000/0000</v>
      </c>
      <c r="J86" s="13"/>
    </row>
    <row r="87" spans="2:10" x14ac:dyDescent="0.35">
      <c r="B87" s="11">
        <v>81</v>
      </c>
      <c r="C87" s="7"/>
      <c r="D87" s="7"/>
      <c r="E87" s="18"/>
      <c r="F87" s="7"/>
      <c r="G87" s="16"/>
      <c r="H87" s="7"/>
      <c r="I87" s="7" t="str">
        <f t="shared" si="1"/>
        <v>BEG/XXX//XXX/000/0000</v>
      </c>
      <c r="J87" s="13"/>
    </row>
    <row r="88" spans="2:10" x14ac:dyDescent="0.35">
      <c r="B88" s="11">
        <v>82</v>
      </c>
      <c r="C88" s="7"/>
      <c r="D88" s="7"/>
      <c r="E88" s="18"/>
      <c r="F88" s="7"/>
      <c r="G88" s="16"/>
      <c r="H88" s="7"/>
      <c r="I88" s="7" t="str">
        <f t="shared" si="1"/>
        <v>BEG/XXX//XXX/000/0000</v>
      </c>
      <c r="J88" s="13"/>
    </row>
    <row r="89" spans="2:10" x14ac:dyDescent="0.35">
      <c r="B89" s="11">
        <v>83</v>
      </c>
      <c r="C89" s="7"/>
      <c r="D89" s="7"/>
      <c r="E89" s="18"/>
      <c r="F89" s="7"/>
      <c r="G89" s="16"/>
      <c r="H89" s="7"/>
      <c r="I89" s="7" t="str">
        <f t="shared" si="1"/>
        <v>BEG/XXX//XXX/000/0000</v>
      </c>
      <c r="J89" s="13"/>
    </row>
    <row r="90" spans="2:10" x14ac:dyDescent="0.35">
      <c r="B90" s="11">
        <v>84</v>
      </c>
      <c r="C90" s="7"/>
      <c r="D90" s="7"/>
      <c r="E90" s="18"/>
      <c r="F90" s="7"/>
      <c r="G90" s="16"/>
      <c r="H90" s="7"/>
      <c r="I90" s="7" t="str">
        <f t="shared" si="1"/>
        <v>BEG/XXX//XXX/000/0000</v>
      </c>
      <c r="J90" s="13"/>
    </row>
    <row r="91" spans="2:10" x14ac:dyDescent="0.35">
      <c r="B91" s="11">
        <v>85</v>
      </c>
      <c r="C91" s="7"/>
      <c r="D91" s="7"/>
      <c r="E91" s="18"/>
      <c r="F91" s="7"/>
      <c r="G91" s="16"/>
      <c r="H91" s="7"/>
      <c r="I91" s="7" t="str">
        <f t="shared" si="1"/>
        <v>BEG/XXX//XXX/000/0000</v>
      </c>
      <c r="J91" s="13"/>
    </row>
    <row r="92" spans="2:10" x14ac:dyDescent="0.35">
      <c r="B92" s="11">
        <v>86</v>
      </c>
      <c r="C92" s="7"/>
      <c r="D92" s="7"/>
      <c r="E92" s="18"/>
      <c r="F92" s="7"/>
      <c r="G92" s="16"/>
      <c r="H92" s="7"/>
      <c r="I92" s="7" t="str">
        <f t="shared" si="1"/>
        <v>BEG/XXX//XXX/000/0000</v>
      </c>
      <c r="J92" s="13"/>
    </row>
    <row r="93" spans="2:10" x14ac:dyDescent="0.35">
      <c r="B93" s="11">
        <v>87</v>
      </c>
      <c r="C93" s="7"/>
      <c r="D93" s="7"/>
      <c r="E93" s="18"/>
      <c r="F93" s="7"/>
      <c r="G93" s="16"/>
      <c r="H93" s="7"/>
      <c r="I93" s="7" t="str">
        <f t="shared" si="1"/>
        <v>BEG/XXX//XXX/000/0000</v>
      </c>
      <c r="J93" s="13"/>
    </row>
    <row r="94" spans="2:10" x14ac:dyDescent="0.35">
      <c r="B94" s="11">
        <v>88</v>
      </c>
      <c r="C94" s="7"/>
      <c r="D94" s="7"/>
      <c r="E94" s="18"/>
      <c r="F94" s="7"/>
      <c r="G94" s="16"/>
      <c r="H94" s="7"/>
      <c r="I94" s="7" t="str">
        <f t="shared" si="1"/>
        <v>BEG/XXX//XXX/000/0000</v>
      </c>
      <c r="J94" s="13"/>
    </row>
    <row r="95" spans="2:10" x14ac:dyDescent="0.35">
      <c r="B95" s="11">
        <v>89</v>
      </c>
      <c r="C95" s="7"/>
      <c r="D95" s="7"/>
      <c r="E95" s="18"/>
      <c r="F95" s="7"/>
      <c r="G95" s="16"/>
      <c r="H95" s="7"/>
      <c r="I95" s="7" t="str">
        <f t="shared" si="1"/>
        <v>BEG/XXX//XXX/000/0000</v>
      </c>
      <c r="J95" s="13"/>
    </row>
    <row r="96" spans="2:10" x14ac:dyDescent="0.35">
      <c r="B96" s="11">
        <v>90</v>
      </c>
      <c r="C96" s="7"/>
      <c r="D96" s="7"/>
      <c r="E96" s="18"/>
      <c r="F96" s="7"/>
      <c r="G96" s="16"/>
      <c r="H96" s="7"/>
      <c r="I96" s="7" t="str">
        <f t="shared" si="1"/>
        <v>BEG/XXX//XXX/000/0000</v>
      </c>
      <c r="J96" s="13"/>
    </row>
    <row r="97" spans="2:10" x14ac:dyDescent="0.35">
      <c r="B97" s="11">
        <v>91</v>
      </c>
      <c r="C97" s="7"/>
      <c r="D97" s="7"/>
      <c r="E97" s="18"/>
      <c r="F97" s="7"/>
      <c r="G97" s="16"/>
      <c r="H97" s="7"/>
      <c r="I97" s="7" t="str">
        <f t="shared" si="1"/>
        <v>BEG/XXX//XXX/000/0000</v>
      </c>
      <c r="J97" s="13"/>
    </row>
    <row r="98" spans="2:10" x14ac:dyDescent="0.35">
      <c r="B98" s="11">
        <v>92</v>
      </c>
      <c r="C98" s="7"/>
      <c r="D98" s="7"/>
      <c r="E98" s="18"/>
      <c r="F98" s="7"/>
      <c r="G98" s="16"/>
      <c r="H98" s="7"/>
      <c r="I98" s="7" t="str">
        <f t="shared" si="1"/>
        <v>BEG/XXX//XXX/000/0000</v>
      </c>
      <c r="J98" s="13"/>
    </row>
    <row r="99" spans="2:10" x14ac:dyDescent="0.35">
      <c r="B99" s="11">
        <v>93</v>
      </c>
      <c r="C99" s="7"/>
      <c r="D99" s="7"/>
      <c r="E99" s="18"/>
      <c r="F99" s="7"/>
      <c r="G99" s="16"/>
      <c r="H99" s="7"/>
      <c r="I99" s="7" t="str">
        <f t="shared" si="1"/>
        <v>BEG/XXX//XXX/000/0000</v>
      </c>
      <c r="J99" s="13"/>
    </row>
    <row r="100" spans="2:10" x14ac:dyDescent="0.35">
      <c r="B100" s="11">
        <v>94</v>
      </c>
      <c r="C100" s="7"/>
      <c r="D100" s="7"/>
      <c r="E100" s="18"/>
      <c r="F100" s="7"/>
      <c r="G100" s="16"/>
      <c r="H100" s="7"/>
      <c r="I100" s="7" t="str">
        <f t="shared" si="1"/>
        <v>BEG/XXX//XXX/000/0000</v>
      </c>
      <c r="J100" s="13"/>
    </row>
    <row r="101" spans="2:10" x14ac:dyDescent="0.35">
      <c r="B101" s="11">
        <v>95</v>
      </c>
      <c r="C101" s="7"/>
      <c r="D101" s="7"/>
      <c r="E101" s="18"/>
      <c r="F101" s="7"/>
      <c r="G101" s="16"/>
      <c r="H101" s="7"/>
      <c r="I101" s="7" t="str">
        <f t="shared" si="1"/>
        <v>BEG/XXX//XXX/000/0000</v>
      </c>
      <c r="J101" s="13"/>
    </row>
    <row r="102" spans="2:10" x14ac:dyDescent="0.35">
      <c r="B102" s="11">
        <v>96</v>
      </c>
      <c r="C102" s="7"/>
      <c r="D102" s="7"/>
      <c r="E102" s="18"/>
      <c r="F102" s="7"/>
      <c r="G102" s="16"/>
      <c r="H102" s="7"/>
      <c r="I102" s="7" t="str">
        <f t="shared" si="1"/>
        <v>BEG/XXX//XXX/000/0000</v>
      </c>
      <c r="J102" s="13"/>
    </row>
    <row r="103" spans="2:10" x14ac:dyDescent="0.35">
      <c r="B103" s="11">
        <v>97</v>
      </c>
      <c r="C103" s="7"/>
      <c r="D103" s="7"/>
      <c r="E103" s="18"/>
      <c r="F103" s="7"/>
      <c r="G103" s="16"/>
      <c r="H103" s="7"/>
      <c r="I103" s="7" t="str">
        <f t="shared" si="1"/>
        <v>BEG/XXX//XXX/000/0000</v>
      </c>
      <c r="J103" s="13"/>
    </row>
    <row r="104" spans="2:10" x14ac:dyDescent="0.35">
      <c r="B104" s="11">
        <v>98</v>
      </c>
      <c r="C104" s="7"/>
      <c r="D104" s="7"/>
      <c r="E104" s="18"/>
      <c r="F104" s="7"/>
      <c r="G104" s="16"/>
      <c r="H104" s="7"/>
      <c r="I104" s="7" t="str">
        <f t="shared" si="1"/>
        <v>BEG/XXX//XXX/000/0000</v>
      </c>
      <c r="J104" s="13"/>
    </row>
    <row r="105" spans="2:10" x14ac:dyDescent="0.35">
      <c r="B105" s="11">
        <v>99</v>
      </c>
      <c r="C105" s="7"/>
      <c r="D105" s="7"/>
      <c r="E105" s="18"/>
      <c r="F105" s="7"/>
      <c r="G105" s="16"/>
      <c r="H105" s="7"/>
      <c r="I105" s="7" t="str">
        <f t="shared" si="1"/>
        <v>BEG/XXX//XXX/000/0000</v>
      </c>
      <c r="J105" s="13"/>
    </row>
    <row r="106" spans="2:10" x14ac:dyDescent="0.35">
      <c r="B106" s="11">
        <v>100</v>
      </c>
      <c r="C106" s="7"/>
      <c r="D106" s="7"/>
      <c r="E106" s="18"/>
      <c r="F106" s="7"/>
      <c r="G106" s="16"/>
      <c r="H106" s="7"/>
      <c r="I106" s="7" t="str">
        <f t="shared" si="1"/>
        <v>BEG/XXX//XXX/000/0000</v>
      </c>
      <c r="J106" s="13"/>
    </row>
    <row r="107" spans="2:10" x14ac:dyDescent="0.35">
      <c r="B107" s="11">
        <v>101</v>
      </c>
      <c r="C107" s="7"/>
      <c r="D107" s="7"/>
      <c r="E107" s="18"/>
      <c r="F107" s="7"/>
      <c r="G107" s="16"/>
      <c r="H107" s="7"/>
      <c r="I107" s="7" t="str">
        <f t="shared" si="1"/>
        <v>BEG/XXX//XXX/000/0000</v>
      </c>
      <c r="J107" s="13"/>
    </row>
    <row r="108" spans="2:10" x14ac:dyDescent="0.35">
      <c r="B108" s="11">
        <v>102</v>
      </c>
      <c r="C108" s="7"/>
      <c r="D108" s="7"/>
      <c r="E108" s="18"/>
      <c r="F108" s="7"/>
      <c r="G108" s="16"/>
      <c r="H108" s="7"/>
      <c r="I108" s="7" t="str">
        <f t="shared" si="1"/>
        <v>BEG/XXX//XXX/000/0000</v>
      </c>
      <c r="J108" s="13"/>
    </row>
    <row r="109" spans="2:10" x14ac:dyDescent="0.35">
      <c r="B109" s="11">
        <v>103</v>
      </c>
      <c r="C109" s="7"/>
      <c r="D109" s="7"/>
      <c r="E109" s="18"/>
      <c r="F109" s="7"/>
      <c r="G109" s="16"/>
      <c r="H109" s="7"/>
      <c r="I109" s="7" t="str">
        <f t="shared" si="1"/>
        <v>BEG/XXX//XXX/000/0000</v>
      </c>
      <c r="J109" s="13"/>
    </row>
    <row r="110" spans="2:10" x14ac:dyDescent="0.35">
      <c r="B110" s="11">
        <v>104</v>
      </c>
      <c r="C110" s="7"/>
      <c r="D110" s="7"/>
      <c r="E110" s="18"/>
      <c r="F110" s="7"/>
      <c r="G110" s="16"/>
      <c r="H110" s="7"/>
      <c r="I110" s="7" t="str">
        <f t="shared" si="1"/>
        <v>BEG/XXX//XXX/000/0000</v>
      </c>
      <c r="J110" s="13"/>
    </row>
    <row r="111" spans="2:10" x14ac:dyDescent="0.35">
      <c r="B111" s="11">
        <v>105</v>
      </c>
      <c r="C111" s="7"/>
      <c r="D111" s="7"/>
      <c r="E111" s="18"/>
      <c r="F111" s="7"/>
      <c r="G111" s="16"/>
      <c r="H111" s="7"/>
      <c r="I111" s="7" t="str">
        <f t="shared" si="1"/>
        <v>BEG/XXX//XXX/000/0000</v>
      </c>
      <c r="J111" s="13"/>
    </row>
    <row r="112" spans="2:10" x14ac:dyDescent="0.35">
      <c r="B112" s="11">
        <v>106</v>
      </c>
      <c r="C112" s="7"/>
      <c r="D112" s="7"/>
      <c r="E112" s="18"/>
      <c r="F112" s="7"/>
      <c r="G112" s="16"/>
      <c r="H112" s="7"/>
      <c r="I112" s="7" t="str">
        <f t="shared" si="1"/>
        <v>BEG/XXX//XXX/000/0000</v>
      </c>
      <c r="J112" s="13"/>
    </row>
    <row r="113" spans="2:10" x14ac:dyDescent="0.35">
      <c r="B113" s="11">
        <v>107</v>
      </c>
      <c r="C113" s="7"/>
      <c r="D113" s="7"/>
      <c r="E113" s="18"/>
      <c r="F113" s="7"/>
      <c r="G113" s="16"/>
      <c r="H113" s="7"/>
      <c r="I113" s="7" t="str">
        <f t="shared" si="1"/>
        <v>BEG/XXX//XXX/000/0000</v>
      </c>
      <c r="J113" s="13"/>
    </row>
    <row r="114" spans="2:10" x14ac:dyDescent="0.35">
      <c r="B114" s="11">
        <v>108</v>
      </c>
      <c r="C114" s="7"/>
      <c r="D114" s="7"/>
      <c r="E114" s="18"/>
      <c r="F114" s="7"/>
      <c r="G114" s="16"/>
      <c r="H114" s="7"/>
      <c r="I114" s="7" t="str">
        <f t="shared" si="1"/>
        <v>BEG/XXX//XXX/000/0000</v>
      </c>
      <c r="J114" s="13"/>
    </row>
    <row r="115" spans="2:10" x14ac:dyDescent="0.35">
      <c r="B115" s="11">
        <v>109</v>
      </c>
      <c r="C115" s="7"/>
      <c r="D115" s="7"/>
      <c r="E115" s="18"/>
      <c r="F115" s="7"/>
      <c r="G115" s="16"/>
      <c r="H115" s="7"/>
      <c r="I115" s="7" t="str">
        <f t="shared" si="1"/>
        <v>BEG/XXX//XXX/000/0000</v>
      </c>
      <c r="J115" s="13"/>
    </row>
    <row r="116" spans="2:10" x14ac:dyDescent="0.35">
      <c r="B116" s="11">
        <v>110</v>
      </c>
      <c r="C116" s="7"/>
      <c r="D116" s="7"/>
      <c r="E116" s="18"/>
      <c r="F116" s="7"/>
      <c r="G116" s="16"/>
      <c r="H116" s="7"/>
      <c r="I116" s="7" t="str">
        <f t="shared" si="1"/>
        <v>BEG/XXX//XXX/000/0000</v>
      </c>
      <c r="J116" s="13"/>
    </row>
    <row r="117" spans="2:10" x14ac:dyDescent="0.35">
      <c r="B117" s="11">
        <v>111</v>
      </c>
      <c r="C117" s="7"/>
      <c r="D117" s="7"/>
      <c r="E117" s="18"/>
      <c r="F117" s="7"/>
      <c r="G117" s="16"/>
      <c r="H117" s="7"/>
      <c r="I117" s="7" t="str">
        <f t="shared" si="1"/>
        <v>BEG/XXX//XXX/000/0000</v>
      </c>
      <c r="J117" s="13"/>
    </row>
    <row r="118" spans="2:10" x14ac:dyDescent="0.35">
      <c r="B118" s="11">
        <v>112</v>
      </c>
      <c r="C118" s="7"/>
      <c r="D118" s="7"/>
      <c r="E118" s="18"/>
      <c r="F118" s="7"/>
      <c r="G118" s="16"/>
      <c r="H118" s="7"/>
      <c r="I118" s="7" t="str">
        <f t="shared" si="1"/>
        <v>BEG/XXX//XXX/000/0000</v>
      </c>
      <c r="J118" s="13"/>
    </row>
    <row r="119" spans="2:10" x14ac:dyDescent="0.35">
      <c r="B119" s="11">
        <v>113</v>
      </c>
      <c r="C119" s="7"/>
      <c r="D119" s="7"/>
      <c r="E119" s="18"/>
      <c r="F119" s="7"/>
      <c r="G119" s="16"/>
      <c r="H119" s="7"/>
      <c r="I119" s="7" t="str">
        <f t="shared" si="1"/>
        <v>BEG/XXX//XXX/000/0000</v>
      </c>
      <c r="J119" s="13"/>
    </row>
    <row r="120" spans="2:10" x14ac:dyDescent="0.35">
      <c r="B120" s="11">
        <v>114</v>
      </c>
      <c r="C120" s="7"/>
      <c r="D120" s="7"/>
      <c r="E120" s="18"/>
      <c r="F120" s="7"/>
      <c r="G120" s="16"/>
      <c r="H120" s="7"/>
      <c r="I120" s="7" t="str">
        <f t="shared" si="1"/>
        <v>BEG/XXX//XXX/000/0000</v>
      </c>
      <c r="J120" s="13"/>
    </row>
    <row r="121" spans="2:10" x14ac:dyDescent="0.35">
      <c r="B121" s="11">
        <v>115</v>
      </c>
      <c r="C121" s="7"/>
      <c r="D121" s="7"/>
      <c r="E121" s="18"/>
      <c r="F121" s="7"/>
      <c r="G121" s="16"/>
      <c r="H121" s="7"/>
      <c r="I121" s="7" t="str">
        <f t="shared" si="1"/>
        <v>BEG/XXX//XXX/000/0000</v>
      </c>
      <c r="J121" s="13"/>
    </row>
    <row r="122" spans="2:10" x14ac:dyDescent="0.35">
      <c r="B122" s="11">
        <v>116</v>
      </c>
      <c r="C122" s="7"/>
      <c r="D122" s="7"/>
      <c r="E122" s="18"/>
      <c r="F122" s="7"/>
      <c r="G122" s="16"/>
      <c r="H122" s="7"/>
      <c r="I122" s="7" t="str">
        <f t="shared" si="1"/>
        <v>BEG/XXX//XXX/000/0000</v>
      </c>
      <c r="J122" s="13"/>
    </row>
    <row r="123" spans="2:10" x14ac:dyDescent="0.35">
      <c r="B123" s="11">
        <v>117</v>
      </c>
      <c r="C123" s="7"/>
      <c r="D123" s="7"/>
      <c r="E123" s="18"/>
      <c r="F123" s="7"/>
      <c r="G123" s="16"/>
      <c r="H123" s="7"/>
      <c r="I123" s="7" t="str">
        <f t="shared" si="1"/>
        <v>BEG/XXX//XXX/000/0000</v>
      </c>
      <c r="J123" s="13"/>
    </row>
    <row r="124" spans="2:10" x14ac:dyDescent="0.35">
      <c r="B124" s="11">
        <v>118</v>
      </c>
      <c r="C124" s="7"/>
      <c r="D124" s="7"/>
      <c r="E124" s="18"/>
      <c r="F124" s="7"/>
      <c r="G124" s="16"/>
      <c r="H124" s="7"/>
      <c r="I124" s="7" t="str">
        <f t="shared" si="1"/>
        <v>BEG/XXX//XXX/000/0000</v>
      </c>
      <c r="J124" s="13"/>
    </row>
    <row r="125" spans="2:10" x14ac:dyDescent="0.35">
      <c r="B125" s="11">
        <v>119</v>
      </c>
      <c r="C125" s="7"/>
      <c r="D125" s="7"/>
      <c r="E125" s="18"/>
      <c r="F125" s="7"/>
      <c r="G125" s="16"/>
      <c r="H125" s="7"/>
      <c r="I125" s="7" t="str">
        <f t="shared" si="1"/>
        <v>BEG/XXX//XXX/000/0000</v>
      </c>
      <c r="J125" s="13"/>
    </row>
    <row r="126" spans="2:10" x14ac:dyDescent="0.35">
      <c r="B126" s="12">
        <v>120</v>
      </c>
      <c r="C126" s="8"/>
      <c r="D126" s="8"/>
      <c r="E126" s="19"/>
      <c r="F126" s="8"/>
      <c r="G126" s="17"/>
      <c r="H126" s="8"/>
      <c r="I126" s="7" t="str">
        <f t="shared" si="1"/>
        <v>BEG/XXX//XXX/000/0000</v>
      </c>
      <c r="J126" s="14"/>
    </row>
  </sheetData>
  <mergeCells count="3">
    <mergeCell ref="C2:C4"/>
    <mergeCell ref="G2:H4"/>
    <mergeCell ref="D2:F3"/>
  </mergeCells>
  <dataValidations count="1">
    <dataValidation type="whole" allowBlank="1" showInputMessage="1" showErrorMessage="1" sqref="G7:G126" xr:uid="{06068234-18A4-4EC1-AC08-4AD114D5A778}">
      <formula1>2005</formula1>
      <formula2>2050</formula2>
    </dataValidation>
  </dataValidations>
  <pageMargins left="0.7" right="0.7" top="0.75" bottom="0.75" header="0.3" footer="0.3"/>
  <pageSetup paperSize="9" orientation="portrait" r:id="rId1"/>
  <drawing r:id="rId2"/>
  <tableParts count="1">
    <tablePart r:id="rId3"/>
  </tableParts>
  <extLst>
    <ext xmlns:x14="http://schemas.microsoft.com/office/spreadsheetml/2009/9/main" uri="{CCE6A557-97BC-4b89-ADB6-D9C93CAAB3DF}">
      <x14:dataValidations xmlns:xm="http://schemas.microsoft.com/office/excel/2006/main" count="3">
        <x14:dataValidation type="list" allowBlank="1" showInputMessage="1" showErrorMessage="1" xr:uid="{D032A81A-7B84-4401-B235-AC496B0C8D51}">
          <x14:formula1>
            <xm:f>'Eléments de codification'!$B$7:$B$10</xm:f>
          </x14:formula1>
          <xm:sqref>C7:C126</xm:sqref>
        </x14:dataValidation>
        <x14:dataValidation type="list" allowBlank="1" showInputMessage="1" showErrorMessage="1" xr:uid="{592DC282-10AD-4893-9ED3-9CF641E19701}">
          <x14:formula1>
            <xm:f>'Eléments de codification'!$B$28:$B$30</xm:f>
          </x14:formula1>
          <xm:sqref>H7:H126</xm:sqref>
        </x14:dataValidation>
        <x14:dataValidation type="list" allowBlank="1" showInputMessage="1" showErrorMessage="1" xr:uid="{FE1302B3-2020-47F6-8777-92F46EB37868}">
          <x14:formula1>
            <xm:f>'Eléments de codification'!$B$12:$B$22</xm:f>
          </x14:formula1>
          <xm:sqref>F7:F126</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Eléments de codification</vt:lpstr>
      <vt:lpstr>Inventaire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BEG</dc:creator>
  <cp:lastModifiedBy>Dieudonné Aurel KOUNOUDJI</cp:lastModifiedBy>
  <cp:lastPrinted>2026-02-05T08:53:45Z</cp:lastPrinted>
  <dcterms:created xsi:type="dcterms:W3CDTF">2025-09-09T15:36:40Z</dcterms:created>
  <dcterms:modified xsi:type="dcterms:W3CDTF">2026-02-06T11:08:45Z</dcterms:modified>
</cp:coreProperties>
</file>